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J:\FSE_MSP\Secretariat\Office of Student Affairs - BG\OSA\36. Tutor coordination\"/>
    </mc:Choice>
  </mc:AlternateContent>
  <bookViews>
    <workbookView xWindow="0" yWindow="0" windowWidth="25200" windowHeight="12000"/>
  </bookViews>
  <sheets>
    <sheet name="normuren" sheetId="12" r:id="rId1"/>
    <sheet name="PERIOD 1" sheetId="1" r:id="rId2"/>
    <sheet name="PERIOD 2" sheetId="2" r:id="rId3"/>
    <sheet name="PERIOD 3" sheetId="14" r:id="rId4"/>
    <sheet name="PERIOD 4" sheetId="8" r:id="rId5"/>
    <sheet name="PERIOD 5" sheetId="9" r:id="rId6"/>
    <sheet name="PERIOD 6" sheetId="10" r:id="rId7"/>
    <sheet name="Totaal" sheetId="11" r:id="rId8"/>
  </sheets>
  <definedNames>
    <definedName name="_xlnm._FilterDatabase" localSheetId="1" hidden="1">'PERIOD 1'!$A$3:$EC$44</definedName>
    <definedName name="_xlnm._FilterDatabase" localSheetId="2" hidden="1">'PERIOD 2'!$A$3:$BY$3</definedName>
    <definedName name="_xlnm._FilterDatabase" localSheetId="3" hidden="1">'PERIOD 3'!$A$3:$BW$3</definedName>
    <definedName name="_xlnm._FilterDatabase" localSheetId="4" hidden="1">'PERIOD 4'!$A$3:$BM$3</definedName>
    <definedName name="_xlnm._FilterDatabase" localSheetId="5" hidden="1">'PERIOD 5'!$A$3:$BX$3</definedName>
    <definedName name="_xlnm._FilterDatabase" localSheetId="6" hidden="1">'PERIOD 6'!$A$3:$BX$3</definedName>
    <definedName name="_xlnm.Print_Area" localSheetId="5">'PERIOD 5'!$A$1:$N$51</definedName>
    <definedName name="SS" comment="Simone Schleper">'PERIOD 5'!#REF!</definedName>
  </definedNames>
  <calcPr calcId="162913"/>
</workbook>
</file>

<file path=xl/calcChain.xml><?xml version="1.0" encoding="utf-8"?>
<calcChain xmlns="http://schemas.openxmlformats.org/spreadsheetml/2006/main">
  <c r="F10" i="1" l="1"/>
  <c r="F28" i="1"/>
  <c r="F9" i="1"/>
  <c r="F5" i="1"/>
  <c r="F6" i="1"/>
  <c r="AY55" i="2" l="1"/>
  <c r="AY56" i="2"/>
  <c r="AY57" i="2"/>
  <c r="AY59" i="2" s="1"/>
  <c r="AY58" i="2"/>
  <c r="AY61" i="2" s="1"/>
  <c r="AY65" i="2"/>
  <c r="AY60" i="2" l="1"/>
  <c r="AY63" i="2" s="1"/>
  <c r="F13" i="1"/>
  <c r="AY62" i="2" l="1"/>
  <c r="K10" i="10"/>
  <c r="H4" i="2" l="1"/>
  <c r="F4" i="2"/>
  <c r="H4" i="9"/>
  <c r="F4" i="9"/>
  <c r="F4" i="8"/>
  <c r="G4" i="8" s="1"/>
  <c r="H4" i="8" s="1"/>
  <c r="BL60" i="8" l="1"/>
  <c r="BL61" i="8"/>
  <c r="BL62" i="8"/>
  <c r="BL63" i="8"/>
  <c r="BL64" i="8"/>
  <c r="BL65" i="8"/>
  <c r="BL66" i="8"/>
  <c r="BL67" i="8"/>
  <c r="BL68" i="8"/>
  <c r="BL69" i="8"/>
  <c r="BK6" i="8"/>
  <c r="BK7" i="8"/>
  <c r="BK8" i="8"/>
  <c r="BK9" i="8"/>
  <c r="BK10" i="8"/>
  <c r="BK11" i="8"/>
  <c r="BK12" i="8"/>
  <c r="BK13" i="8"/>
  <c r="BK14" i="8"/>
  <c r="BK15" i="8"/>
  <c r="BK16" i="8"/>
  <c r="BK17" i="8"/>
  <c r="BK18" i="8"/>
  <c r="BK19" i="8"/>
  <c r="BK20" i="8"/>
  <c r="BK21" i="8"/>
  <c r="BK22" i="8"/>
  <c r="BK23" i="8"/>
  <c r="BK24" i="8"/>
  <c r="BK25" i="8"/>
  <c r="BK26" i="8"/>
  <c r="BK27" i="8"/>
  <c r="BK28" i="8"/>
  <c r="BK29" i="8"/>
  <c r="BK30" i="8"/>
  <c r="BK31" i="8"/>
  <c r="BK32" i="8"/>
  <c r="BK33" i="8"/>
  <c r="BK34" i="8"/>
  <c r="BK35" i="8"/>
  <c r="BK36" i="8"/>
  <c r="BK37" i="8"/>
  <c r="BK38" i="8"/>
  <c r="BK39" i="8"/>
  <c r="BK40" i="8"/>
  <c r="BK41" i="8"/>
  <c r="BK42" i="8"/>
  <c r="BK43" i="8"/>
  <c r="BK44" i="8"/>
  <c r="BK45" i="8"/>
  <c r="BK46" i="8"/>
  <c r="BK47" i="8"/>
  <c r="BK48" i="8"/>
  <c r="BK49" i="8"/>
  <c r="BK50" i="8"/>
  <c r="BK51" i="8"/>
  <c r="BK52" i="8"/>
  <c r="BK53" i="8"/>
  <c r="BK54" i="8"/>
  <c r="BK55" i="8"/>
  <c r="BK56" i="8"/>
  <c r="BK57" i="8"/>
  <c r="BK58" i="8"/>
  <c r="BK5" i="8"/>
  <c r="BK21" i="14"/>
  <c r="BK23" i="14" s="1"/>
  <c r="BK22" i="14"/>
  <c r="BK31" i="14"/>
  <c r="BJ18" i="10"/>
  <c r="BJ20" i="10" s="1"/>
  <c r="BJ19" i="10"/>
  <c r="BJ28" i="10"/>
  <c r="BJ52" i="9"/>
  <c r="BJ54" i="9" s="1"/>
  <c r="BJ53" i="9"/>
  <c r="BJ62" i="9"/>
  <c r="BJ59" i="8"/>
  <c r="BJ61" i="8" s="1"/>
  <c r="BJ60" i="8"/>
  <c r="BJ69" i="8"/>
  <c r="BK55" i="2"/>
  <c r="BK57" i="2" s="1"/>
  <c r="BK56" i="2"/>
  <c r="BK65" i="2"/>
  <c r="BK46" i="1"/>
  <c r="BK48" i="1" s="1"/>
  <c r="BK47" i="1"/>
  <c r="BK56" i="1"/>
  <c r="BC65" i="2"/>
  <c r="BC56" i="2"/>
  <c r="BC55" i="2"/>
  <c r="BB31" i="14"/>
  <c r="BB22" i="14"/>
  <c r="BB21" i="14"/>
  <c r="BB62" i="9"/>
  <c r="BB53" i="9"/>
  <c r="BB52" i="9"/>
  <c r="BB54" i="9" s="1"/>
  <c r="BB28" i="10"/>
  <c r="BB19" i="10"/>
  <c r="BB18" i="10"/>
  <c r="F58" i="8"/>
  <c r="G58" i="8" s="1"/>
  <c r="J58" i="8"/>
  <c r="L58" i="8"/>
  <c r="N58" i="8"/>
  <c r="F19" i="14"/>
  <c r="G19" i="14" s="1"/>
  <c r="BL19" i="14"/>
  <c r="BL18" i="14"/>
  <c r="F18" i="14"/>
  <c r="G18" i="14" s="1"/>
  <c r="H18" i="14" s="1"/>
  <c r="BM5" i="2"/>
  <c r="BM6" i="2"/>
  <c r="BM7" i="2"/>
  <c r="BL5" i="9"/>
  <c r="BM5" i="9" s="1"/>
  <c r="BL6" i="9"/>
  <c r="BM6" i="9" s="1"/>
  <c r="BL7" i="9"/>
  <c r="BM7" i="9" s="1"/>
  <c r="BL4" i="10"/>
  <c r="BL5" i="10"/>
  <c r="BL6" i="10"/>
  <c r="BM5" i="1"/>
  <c r="BM6" i="1"/>
  <c r="BM20" i="1"/>
  <c r="BJ56" i="9" l="1"/>
  <c r="BL58" i="8"/>
  <c r="BK59" i="2"/>
  <c r="BM18" i="14"/>
  <c r="BN18" i="14" s="1"/>
  <c r="BB24" i="14"/>
  <c r="BK24" i="14"/>
  <c r="BK58" i="2"/>
  <c r="BK61" i="2" s="1"/>
  <c r="BJ55" i="9"/>
  <c r="BJ57" i="9" s="1"/>
  <c r="BK25" i="14"/>
  <c r="BK50" i="1"/>
  <c r="BJ63" i="8"/>
  <c r="BJ22" i="10"/>
  <c r="BK49" i="1"/>
  <c r="BK51" i="1" s="1"/>
  <c r="BJ62" i="8"/>
  <c r="BJ64" i="8" s="1"/>
  <c r="BJ21" i="10"/>
  <c r="BJ23" i="10" s="1"/>
  <c r="BB55" i="9"/>
  <c r="BB57" i="9" s="1"/>
  <c r="BC57" i="2"/>
  <c r="BC58" i="2"/>
  <c r="BB20" i="10"/>
  <c r="BB22" i="10" s="1"/>
  <c r="BB56" i="9"/>
  <c r="BB23" i="14"/>
  <c r="BB25" i="14" s="1"/>
  <c r="BB21" i="10"/>
  <c r="K58" i="8"/>
  <c r="H58" i="8"/>
  <c r="BM19" i="14"/>
  <c r="BN19" i="14" s="1"/>
  <c r="H19" i="14"/>
  <c r="BL8" i="10"/>
  <c r="BL9" i="10"/>
  <c r="BL10" i="10"/>
  <c r="BL11" i="10"/>
  <c r="BL12" i="10"/>
  <c r="BL13" i="10"/>
  <c r="BL14" i="10"/>
  <c r="BL15" i="10"/>
  <c r="BL16" i="10"/>
  <c r="BM7" i="1"/>
  <c r="BM21" i="1"/>
  <c r="BM22" i="1"/>
  <c r="BM23" i="1"/>
  <c r="BM24" i="1"/>
  <c r="BM8" i="1"/>
  <c r="BM25" i="1"/>
  <c r="BM26" i="1"/>
  <c r="BM27" i="1"/>
  <c r="BM9" i="1"/>
  <c r="BM28" i="1"/>
  <c r="BM29" i="1"/>
  <c r="BJ58" i="9" l="1"/>
  <c r="BK60" i="2"/>
  <c r="BK62" i="2" s="1"/>
  <c r="BK27" i="14"/>
  <c r="BJ60" i="9"/>
  <c r="BK26" i="14"/>
  <c r="BK28" i="14" s="1"/>
  <c r="BM58" i="8"/>
  <c r="BJ59" i="9"/>
  <c r="BJ66" i="8"/>
  <c r="BK52" i="1"/>
  <c r="BK54" i="1" s="1"/>
  <c r="BJ25" i="10"/>
  <c r="BK53" i="1"/>
  <c r="BJ24" i="10"/>
  <c r="BJ26" i="10" s="1"/>
  <c r="BB26" i="14"/>
  <c r="BB28" i="14" s="1"/>
  <c r="BJ65" i="8"/>
  <c r="BJ67" i="8" s="1"/>
  <c r="BB59" i="9"/>
  <c r="BC60" i="2"/>
  <c r="BC59" i="2"/>
  <c r="BC61" i="2" s="1"/>
  <c r="BB24" i="10"/>
  <c r="BB58" i="9"/>
  <c r="BB60" i="9" s="1"/>
  <c r="BB23" i="10"/>
  <c r="BB27" i="14"/>
  <c r="F13" i="10"/>
  <c r="G13" i="10" s="1"/>
  <c r="BK63" i="2" l="1"/>
  <c r="BK29" i="14"/>
  <c r="BB29" i="14"/>
  <c r="BC62" i="2"/>
  <c r="BC63" i="2"/>
  <c r="BB26" i="10"/>
  <c r="BB25" i="10"/>
  <c r="H13" i="10"/>
  <c r="BM13" i="10"/>
  <c r="BN13" i="10" s="1"/>
  <c r="F5" i="9" l="1"/>
  <c r="J5" i="9"/>
  <c r="L5" i="9"/>
  <c r="N5" i="9"/>
  <c r="K5" i="9" l="1"/>
  <c r="BN5" i="9"/>
  <c r="H5" i="9"/>
  <c r="F30" i="9" l="1"/>
  <c r="H30" i="9" s="1"/>
  <c r="J30" i="9"/>
  <c r="L30" i="9"/>
  <c r="M30" i="9"/>
  <c r="N30" i="9"/>
  <c r="BL30" i="9"/>
  <c r="BM30" i="9" l="1"/>
  <c r="BN30" i="9" s="1"/>
  <c r="K30" i="9"/>
  <c r="J54" i="8"/>
  <c r="L54" i="8"/>
  <c r="N54" i="8"/>
  <c r="F30" i="8" l="1"/>
  <c r="F54" i="8"/>
  <c r="G54" i="8" s="1"/>
  <c r="K54" i="8" l="1"/>
  <c r="BL54" i="8"/>
  <c r="BM54" i="8" s="1"/>
  <c r="H54" i="8"/>
  <c r="F33" i="8"/>
  <c r="G33" i="8" s="1"/>
  <c r="BL33" i="8" s="1"/>
  <c r="J33" i="8"/>
  <c r="L33" i="8"/>
  <c r="M33" i="8"/>
  <c r="N33" i="8"/>
  <c r="H33" i="8" l="1"/>
  <c r="K33" i="8"/>
  <c r="BM52" i="2"/>
  <c r="BM33" i="8" l="1"/>
  <c r="BL48" i="9"/>
  <c r="BL49" i="9"/>
  <c r="BL50" i="9"/>
  <c r="BL51" i="9"/>
  <c r="BM46" i="2"/>
  <c r="BM47" i="2"/>
  <c r="BM48" i="2"/>
  <c r="BM49" i="2"/>
  <c r="BM50" i="2"/>
  <c r="BM51" i="2"/>
  <c r="BL31" i="14"/>
  <c r="BL24" i="14"/>
  <c r="BL17" i="14"/>
  <c r="BL16" i="14"/>
  <c r="BL15" i="14"/>
  <c r="BL14" i="14"/>
  <c r="BL13" i="14"/>
  <c r="BL12" i="14"/>
  <c r="BL11" i="14"/>
  <c r="BL10" i="14"/>
  <c r="BL9" i="14"/>
  <c r="BL8" i="14"/>
  <c r="BL7" i="14"/>
  <c r="BL6" i="14"/>
  <c r="BL5" i="14"/>
  <c r="BL4" i="14"/>
  <c r="BL62" i="9"/>
  <c r="BL55" i="9" s="1"/>
  <c r="BL47" i="9"/>
  <c r="BL46" i="9"/>
  <c r="BL45" i="9"/>
  <c r="BL44" i="9"/>
  <c r="BL43" i="9"/>
  <c r="BL42" i="9"/>
  <c r="BL41" i="9"/>
  <c r="BL40" i="9"/>
  <c r="BL39" i="9"/>
  <c r="BL38" i="9"/>
  <c r="BL37" i="9"/>
  <c r="BL36" i="9"/>
  <c r="BL35" i="9"/>
  <c r="BL34" i="9"/>
  <c r="BL33" i="9"/>
  <c r="BL32" i="9"/>
  <c r="BL31" i="9"/>
  <c r="BL29" i="9"/>
  <c r="BL28" i="9"/>
  <c r="BL27" i="9"/>
  <c r="BL26" i="9"/>
  <c r="BL25" i="9"/>
  <c r="BL24" i="9"/>
  <c r="BL23" i="9"/>
  <c r="BL22" i="9"/>
  <c r="BL21" i="9"/>
  <c r="BL20" i="9"/>
  <c r="BL19" i="9"/>
  <c r="BL18" i="9"/>
  <c r="BL17" i="9"/>
  <c r="BL16" i="9"/>
  <c r="BL15" i="9"/>
  <c r="BL14" i="9"/>
  <c r="BL13" i="9"/>
  <c r="BL12" i="9"/>
  <c r="BL11" i="9"/>
  <c r="BL10" i="9"/>
  <c r="BL9" i="9"/>
  <c r="BL8" i="9"/>
  <c r="BL28" i="10"/>
  <c r="BL21" i="10" s="1"/>
  <c r="BL7" i="10"/>
  <c r="BM65" i="2"/>
  <c r="BM58" i="2" s="1"/>
  <c r="BM45" i="2"/>
  <c r="BM44" i="2"/>
  <c r="BM18" i="2"/>
  <c r="BM43" i="2"/>
  <c r="BM42" i="2"/>
  <c r="BM41" i="2"/>
  <c r="BM40" i="2"/>
  <c r="BM39" i="2"/>
  <c r="BM38" i="2"/>
  <c r="BM17" i="2"/>
  <c r="BM16" i="2"/>
  <c r="BM15" i="2"/>
  <c r="BM14" i="2"/>
  <c r="BM13" i="2"/>
  <c r="BM37" i="2"/>
  <c r="BM12" i="2"/>
  <c r="BM11" i="2"/>
  <c r="BM10" i="2"/>
  <c r="BM36" i="2"/>
  <c r="BM35" i="2"/>
  <c r="BM34" i="2"/>
  <c r="BM33" i="2"/>
  <c r="BM9" i="2"/>
  <c r="BM32" i="2"/>
  <c r="BM31" i="2"/>
  <c r="BM30" i="2"/>
  <c r="BM29" i="2"/>
  <c r="BM28" i="2"/>
  <c r="BM27" i="2"/>
  <c r="BM26" i="2"/>
  <c r="BM25" i="2"/>
  <c r="BM24" i="2"/>
  <c r="BM23" i="2"/>
  <c r="BM22" i="2"/>
  <c r="BM21" i="2"/>
  <c r="BM8" i="2"/>
  <c r="BM20" i="2"/>
  <c r="BM19" i="2"/>
  <c r="BH31" i="14"/>
  <c r="BG31" i="14"/>
  <c r="BA31" i="14"/>
  <c r="AX31" i="14"/>
  <c r="AU31" i="14"/>
  <c r="BH22" i="14"/>
  <c r="BG22" i="14"/>
  <c r="BA22" i="14"/>
  <c r="AX22" i="14"/>
  <c r="AU22" i="14"/>
  <c r="BH21" i="14"/>
  <c r="BG21" i="14"/>
  <c r="BA21" i="14"/>
  <c r="AX21" i="14"/>
  <c r="AU21" i="14"/>
  <c r="BF69" i="8"/>
  <c r="AX69" i="8"/>
  <c r="AW69" i="8"/>
  <c r="BF60" i="8"/>
  <c r="AX60" i="8"/>
  <c r="AW60" i="8"/>
  <c r="BF59" i="8"/>
  <c r="BF61" i="8" s="1"/>
  <c r="AX59" i="8"/>
  <c r="AW59" i="8"/>
  <c r="BK62" i="9"/>
  <c r="BH62" i="9"/>
  <c r="BA62" i="9"/>
  <c r="AX62" i="9"/>
  <c r="AU62" i="9"/>
  <c r="BK53" i="9"/>
  <c r="BH53" i="9"/>
  <c r="BA53" i="9"/>
  <c r="AX53" i="9"/>
  <c r="AU53" i="9"/>
  <c r="BK52" i="9"/>
  <c r="BH52" i="9"/>
  <c r="BA52" i="9"/>
  <c r="AX52" i="9"/>
  <c r="AU52" i="9"/>
  <c r="BK28" i="10"/>
  <c r="BH28" i="10"/>
  <c r="BC28" i="10"/>
  <c r="AX28" i="10"/>
  <c r="AU28" i="10"/>
  <c r="BK19" i="10"/>
  <c r="BH19" i="10"/>
  <c r="BC19" i="10"/>
  <c r="AX19" i="10"/>
  <c r="AU19" i="10"/>
  <c r="BK18" i="10"/>
  <c r="BH18" i="10"/>
  <c r="BC18" i="10"/>
  <c r="AX18" i="10"/>
  <c r="AU18" i="10"/>
  <c r="BL65" i="2"/>
  <c r="BI65" i="2"/>
  <c r="BB65" i="2"/>
  <c r="AV65" i="2"/>
  <c r="BL56" i="2"/>
  <c r="BI56" i="2"/>
  <c r="BB56" i="2"/>
  <c r="AV56" i="2"/>
  <c r="BL55" i="2"/>
  <c r="BL57" i="2" s="1"/>
  <c r="BI55" i="2"/>
  <c r="BB55" i="2"/>
  <c r="AV55" i="2"/>
  <c r="BA55" i="9" l="1"/>
  <c r="BL52" i="9"/>
  <c r="BL21" i="14"/>
  <c r="BM55" i="2"/>
  <c r="BL18" i="10"/>
  <c r="BC21" i="10"/>
  <c r="AX62" i="8"/>
  <c r="BA24" i="14"/>
  <c r="AU21" i="10"/>
  <c r="AU55" i="9"/>
  <c r="AU24" i="14"/>
  <c r="BB57" i="2"/>
  <c r="AV58" i="2"/>
  <c r="BI58" i="2"/>
  <c r="BL58" i="2"/>
  <c r="BL60" i="2" s="1"/>
  <c r="BL59" i="2"/>
  <c r="BI57" i="2"/>
  <c r="AU20" i="10"/>
  <c r="AU54" i="9"/>
  <c r="AU56" i="9" s="1"/>
  <c r="BF62" i="8"/>
  <c r="AU23" i="14"/>
  <c r="AV57" i="2"/>
  <c r="BB58" i="2"/>
  <c r="BF63" i="8"/>
  <c r="AX20" i="10"/>
  <c r="AX22" i="10" s="1"/>
  <c r="BH20" i="10"/>
  <c r="BK20" i="10"/>
  <c r="BK22" i="10" s="1"/>
  <c r="AX54" i="9"/>
  <c r="BH54" i="9"/>
  <c r="BH56" i="9" s="1"/>
  <c r="BK54" i="9"/>
  <c r="BK56" i="9" s="1"/>
  <c r="AW61" i="8"/>
  <c r="AX23" i="14"/>
  <c r="BG24" i="14"/>
  <c r="BH24" i="14"/>
  <c r="BC20" i="10"/>
  <c r="BC22" i="10" s="1"/>
  <c r="BA54" i="9"/>
  <c r="AX61" i="8"/>
  <c r="BA23" i="14"/>
  <c r="AX21" i="10"/>
  <c r="BH21" i="10"/>
  <c r="BK21" i="10"/>
  <c r="AX55" i="9"/>
  <c r="BH55" i="9"/>
  <c r="BK55" i="9"/>
  <c r="AW62" i="8"/>
  <c r="BG23" i="14"/>
  <c r="BG25" i="14" s="1"/>
  <c r="BH23" i="14"/>
  <c r="AX24" i="14"/>
  <c r="BH23" i="10" l="1"/>
  <c r="BH57" i="9"/>
  <c r="BH59" i="9" s="1"/>
  <c r="BA57" i="9"/>
  <c r="BK58" i="9"/>
  <c r="BH58" i="9"/>
  <c r="BC24" i="10"/>
  <c r="BA56" i="9"/>
  <c r="BA58" i="9" s="1"/>
  <c r="AX24" i="10"/>
  <c r="AU23" i="10"/>
  <c r="AV60" i="2"/>
  <c r="BK23" i="10"/>
  <c r="BK25" i="10" s="1"/>
  <c r="BK24" i="10"/>
  <c r="BC23" i="10"/>
  <c r="AU22" i="10"/>
  <c r="AU24" i="10" s="1"/>
  <c r="BK57" i="9"/>
  <c r="BK59" i="9" s="1"/>
  <c r="AU57" i="9"/>
  <c r="AU59" i="9" s="1"/>
  <c r="AU25" i="14"/>
  <c r="AU27" i="14" s="1"/>
  <c r="BG27" i="14"/>
  <c r="BI60" i="2"/>
  <c r="BI59" i="2"/>
  <c r="BH26" i="14"/>
  <c r="AW64" i="8"/>
  <c r="BF65" i="8"/>
  <c r="AX64" i="8"/>
  <c r="AX25" i="14"/>
  <c r="AX26" i="14"/>
  <c r="AX23" i="10"/>
  <c r="BA26" i="14"/>
  <c r="BF64" i="8"/>
  <c r="BL62" i="2"/>
  <c r="AU58" i="9"/>
  <c r="BB60" i="2"/>
  <c r="BA25" i="14"/>
  <c r="BA27" i="14" s="1"/>
  <c r="BG26" i="14"/>
  <c r="AX56" i="9"/>
  <c r="AX57" i="9"/>
  <c r="BB59" i="2"/>
  <c r="AU26" i="14"/>
  <c r="BL61" i="2"/>
  <c r="BL63" i="2" s="1"/>
  <c r="BH25" i="14"/>
  <c r="BH27" i="14" s="1"/>
  <c r="AX63" i="8"/>
  <c r="AW63" i="8"/>
  <c r="BH22" i="10"/>
  <c r="AV59" i="2"/>
  <c r="BA29" i="14" l="1"/>
  <c r="AX26" i="10"/>
  <c r="AU60" i="9"/>
  <c r="AX25" i="10"/>
  <c r="BK26" i="10"/>
  <c r="BA59" i="9"/>
  <c r="BH60" i="9"/>
  <c r="BK60" i="9"/>
  <c r="BH29" i="14"/>
  <c r="BB62" i="2"/>
  <c r="BB61" i="2"/>
  <c r="BB63" i="2" s="1"/>
  <c r="AX59" i="9"/>
  <c r="BC26" i="10"/>
  <c r="AU25" i="10"/>
  <c r="BA60" i="9"/>
  <c r="BG29" i="14"/>
  <c r="AX28" i="14"/>
  <c r="AX66" i="8"/>
  <c r="AU28" i="14"/>
  <c r="BF67" i="8"/>
  <c r="BI62" i="2"/>
  <c r="BC25" i="10"/>
  <c r="AU26" i="10"/>
  <c r="BI61" i="2"/>
  <c r="BI63" i="2" s="1"/>
  <c r="AW66" i="8"/>
  <c r="BG28" i="14"/>
  <c r="AU29" i="14"/>
  <c r="BH28" i="14"/>
  <c r="BH25" i="10"/>
  <c r="AW65" i="8"/>
  <c r="AW67" i="8" s="1"/>
  <c r="AX65" i="8"/>
  <c r="AX67" i="8" s="1"/>
  <c r="BA28" i="14"/>
  <c r="BF66" i="8"/>
  <c r="AV62" i="2"/>
  <c r="AV61" i="2"/>
  <c r="AV63" i="2" s="1"/>
  <c r="AX58" i="9"/>
  <c r="AX60" i="9" s="1"/>
  <c r="AX27" i="14"/>
  <c r="AX29" i="14" s="1"/>
  <c r="BH24" i="10"/>
  <c r="BH26" i="10" s="1"/>
  <c r="F8" i="1"/>
  <c r="G8" i="1" s="1"/>
  <c r="BN8" i="1" s="1"/>
  <c r="BM30" i="1" l="1"/>
  <c r="BM31" i="1"/>
  <c r="BM10" i="1"/>
  <c r="BM32" i="1"/>
  <c r="BM33" i="1"/>
  <c r="BM11" i="1"/>
  <c r="BM12" i="1"/>
  <c r="BM13" i="1"/>
  <c r="BM14" i="1"/>
  <c r="BM15" i="1"/>
  <c r="BM34" i="1"/>
  <c r="BM35" i="1"/>
  <c r="BM36" i="1"/>
  <c r="BM16" i="1"/>
  <c r="BM37" i="1"/>
  <c r="BM38" i="1"/>
  <c r="BM39" i="1"/>
  <c r="BM40" i="1"/>
  <c r="BM41" i="1"/>
  <c r="BM42" i="1"/>
  <c r="BM43" i="1"/>
  <c r="BM17" i="1"/>
  <c r="BM44" i="1"/>
  <c r="BM18" i="1"/>
  <c r="BM19" i="1"/>
  <c r="F33" i="1"/>
  <c r="P47" i="1" l="1"/>
  <c r="P46" i="1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O47" i="1"/>
  <c r="Q47" i="1"/>
  <c r="R47" i="1"/>
  <c r="S47" i="1"/>
  <c r="T47" i="1"/>
  <c r="U47" i="1"/>
  <c r="V47" i="1"/>
  <c r="W47" i="1"/>
  <c r="X47" i="1"/>
  <c r="Y47" i="1"/>
  <c r="Z47" i="1"/>
  <c r="AA47" i="1"/>
  <c r="AB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Y47" i="1"/>
  <c r="BJ47" i="1"/>
  <c r="BL47" i="1"/>
  <c r="O60" i="8"/>
  <c r="P60" i="8"/>
  <c r="Q59" i="8"/>
  <c r="R60" i="8"/>
  <c r="S60" i="8"/>
  <c r="T60" i="8"/>
  <c r="U60" i="8"/>
  <c r="V60" i="8"/>
  <c r="W60" i="8"/>
  <c r="X60" i="8"/>
  <c r="Y60" i="8"/>
  <c r="Z60" i="8"/>
  <c r="AA60" i="8"/>
  <c r="AB60" i="8"/>
  <c r="AC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AQ60" i="8"/>
  <c r="AR60" i="8"/>
  <c r="AS60" i="8"/>
  <c r="AT60" i="8"/>
  <c r="AP69" i="8"/>
  <c r="AQ69" i="8"/>
  <c r="AR69" i="8"/>
  <c r="AS69" i="8"/>
  <c r="AT69" i="8"/>
  <c r="P69" i="8"/>
  <c r="Q68" i="8"/>
  <c r="R69" i="8"/>
  <c r="S69" i="8"/>
  <c r="T69" i="8"/>
  <c r="U69" i="8"/>
  <c r="V69" i="8"/>
  <c r="W69" i="8"/>
  <c r="X69" i="8"/>
  <c r="Y69" i="8"/>
  <c r="Z69" i="8"/>
  <c r="AA69" i="8"/>
  <c r="AB69" i="8"/>
  <c r="AC69" i="8"/>
  <c r="AE69" i="8"/>
  <c r="AF69" i="8"/>
  <c r="AG69" i="8"/>
  <c r="AH69" i="8"/>
  <c r="AI69" i="8"/>
  <c r="AJ69" i="8"/>
  <c r="AK69" i="8"/>
  <c r="AL69" i="8"/>
  <c r="AM69" i="8"/>
  <c r="AN69" i="8"/>
  <c r="AO69" i="8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P65" i="2"/>
  <c r="O65" i="2"/>
  <c r="F48" i="9" l="1"/>
  <c r="BM48" i="9" s="1"/>
  <c r="BN48" i="9" s="1"/>
  <c r="J48" i="9"/>
  <c r="L48" i="9"/>
  <c r="N48" i="9"/>
  <c r="F49" i="9"/>
  <c r="BM49" i="9" s="1"/>
  <c r="BN49" i="9" s="1"/>
  <c r="J49" i="9"/>
  <c r="L49" i="9"/>
  <c r="N49" i="9"/>
  <c r="F50" i="9"/>
  <c r="J50" i="9"/>
  <c r="L50" i="9"/>
  <c r="N50" i="9"/>
  <c r="F51" i="9"/>
  <c r="BM51" i="9" s="1"/>
  <c r="BN51" i="9" s="1"/>
  <c r="J51" i="9"/>
  <c r="L51" i="9"/>
  <c r="N51" i="9"/>
  <c r="F45" i="8"/>
  <c r="G45" i="8" s="1"/>
  <c r="BL45" i="8" s="1"/>
  <c r="J45" i="8"/>
  <c r="L45" i="8"/>
  <c r="N45" i="8"/>
  <c r="F46" i="8"/>
  <c r="G46" i="8" s="1"/>
  <c r="BL46" i="8" s="1"/>
  <c r="J46" i="8"/>
  <c r="L46" i="8"/>
  <c r="N46" i="8"/>
  <c r="F47" i="8"/>
  <c r="G47" i="8" s="1"/>
  <c r="BL47" i="8" s="1"/>
  <c r="J47" i="8"/>
  <c r="L47" i="8"/>
  <c r="N47" i="8"/>
  <c r="F48" i="8"/>
  <c r="G48" i="8" s="1"/>
  <c r="BL48" i="8" s="1"/>
  <c r="J48" i="8"/>
  <c r="L48" i="8"/>
  <c r="N48" i="8"/>
  <c r="F49" i="8"/>
  <c r="G49" i="8" s="1"/>
  <c r="BL49" i="8" s="1"/>
  <c r="J49" i="8"/>
  <c r="L49" i="8"/>
  <c r="N49" i="8"/>
  <c r="F50" i="8"/>
  <c r="G50" i="8" s="1"/>
  <c r="BL50" i="8" s="1"/>
  <c r="J50" i="8"/>
  <c r="L50" i="8"/>
  <c r="N50" i="8"/>
  <c r="F51" i="8"/>
  <c r="G51" i="8" s="1"/>
  <c r="BL51" i="8" s="1"/>
  <c r="J51" i="8"/>
  <c r="L51" i="8"/>
  <c r="N51" i="8"/>
  <c r="F52" i="8"/>
  <c r="G52" i="8" s="1"/>
  <c r="BL52" i="8" s="1"/>
  <c r="J52" i="8"/>
  <c r="L52" i="8"/>
  <c r="N52" i="8"/>
  <c r="F53" i="8"/>
  <c r="G53" i="8" s="1"/>
  <c r="BL53" i="8" s="1"/>
  <c r="J53" i="8"/>
  <c r="L53" i="8"/>
  <c r="N53" i="8"/>
  <c r="F55" i="8"/>
  <c r="G55" i="8" s="1"/>
  <c r="BL55" i="8" s="1"/>
  <c r="J55" i="8"/>
  <c r="L55" i="8"/>
  <c r="N55" i="8"/>
  <c r="F56" i="8"/>
  <c r="G56" i="8" s="1"/>
  <c r="BL56" i="8" s="1"/>
  <c r="J56" i="8"/>
  <c r="L56" i="8"/>
  <c r="N56" i="8"/>
  <c r="F57" i="8"/>
  <c r="G57" i="8" s="1"/>
  <c r="BL57" i="8" s="1"/>
  <c r="J57" i="8"/>
  <c r="L57" i="8"/>
  <c r="N57" i="8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Y4" i="11"/>
  <c r="Y7" i="11" s="1"/>
  <c r="Z4" i="11"/>
  <c r="Z7" i="11" s="1"/>
  <c r="AA4" i="11"/>
  <c r="AA7" i="11" s="1"/>
  <c r="AB4" i="11"/>
  <c r="AB7" i="11" s="1"/>
  <c r="AC4" i="11"/>
  <c r="AC7" i="11" s="1"/>
  <c r="AD4" i="11"/>
  <c r="AD7" i="11" s="1"/>
  <c r="AE4" i="11"/>
  <c r="AE7" i="11" s="1"/>
  <c r="AF4" i="11"/>
  <c r="AF7" i="11" s="1"/>
  <c r="AG4" i="11"/>
  <c r="AG7" i="11" s="1"/>
  <c r="AH4" i="11"/>
  <c r="AH7" i="11" s="1"/>
  <c r="AI4" i="11"/>
  <c r="AI7" i="11" s="1"/>
  <c r="AJ4" i="11"/>
  <c r="AJ7" i="11" s="1"/>
  <c r="AK4" i="11"/>
  <c r="AK7" i="11" s="1"/>
  <c r="AL4" i="11"/>
  <c r="AL7" i="11" s="1"/>
  <c r="AM4" i="11"/>
  <c r="AM7" i="11" s="1"/>
  <c r="AN4" i="11"/>
  <c r="AN7" i="11" s="1"/>
  <c r="AO4" i="11"/>
  <c r="AO7" i="11" s="1"/>
  <c r="AP4" i="11"/>
  <c r="AP7" i="11" s="1"/>
  <c r="AQ4" i="11"/>
  <c r="AQ7" i="11" s="1"/>
  <c r="AR4" i="11"/>
  <c r="AR7" i="11" s="1"/>
  <c r="AS4" i="11"/>
  <c r="AS7" i="11" s="1"/>
  <c r="AT4" i="11"/>
  <c r="AT7" i="11" s="1"/>
  <c r="AU4" i="11"/>
  <c r="AU7" i="11" s="1"/>
  <c r="AV4" i="11"/>
  <c r="AV7" i="11" s="1"/>
  <c r="AW4" i="11"/>
  <c r="AW7" i="11" s="1"/>
  <c r="AX4" i="11"/>
  <c r="AX7" i="11" s="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Y11" i="11"/>
  <c r="Y14" i="11" s="1"/>
  <c r="Z11" i="11"/>
  <c r="Z14" i="11" s="1"/>
  <c r="AA11" i="11"/>
  <c r="AA14" i="11" s="1"/>
  <c r="AB11" i="11"/>
  <c r="AB14" i="11" s="1"/>
  <c r="AC11" i="11"/>
  <c r="AC14" i="11" s="1"/>
  <c r="AD11" i="11"/>
  <c r="AD14" i="11" s="1"/>
  <c r="AE11" i="11"/>
  <c r="AE14" i="11" s="1"/>
  <c r="AF11" i="11"/>
  <c r="AF14" i="11" s="1"/>
  <c r="AG11" i="11"/>
  <c r="AG14" i="11" s="1"/>
  <c r="AH11" i="11"/>
  <c r="AH14" i="11" s="1"/>
  <c r="AI11" i="11"/>
  <c r="AI14" i="11" s="1"/>
  <c r="AJ11" i="11"/>
  <c r="AJ14" i="11" s="1"/>
  <c r="AK11" i="11"/>
  <c r="AK14" i="11" s="1"/>
  <c r="AL11" i="11"/>
  <c r="AL14" i="11" s="1"/>
  <c r="AM11" i="11"/>
  <c r="AM14" i="11" s="1"/>
  <c r="AN11" i="11"/>
  <c r="AN14" i="11" s="1"/>
  <c r="AO11" i="11"/>
  <c r="AO14" i="11" s="1"/>
  <c r="AP11" i="11"/>
  <c r="AP14" i="11" s="1"/>
  <c r="AQ11" i="11"/>
  <c r="AQ14" i="11" s="1"/>
  <c r="AR11" i="11"/>
  <c r="AR14" i="11" s="1"/>
  <c r="AS11" i="11"/>
  <c r="AS14" i="11" s="1"/>
  <c r="AT11" i="11"/>
  <c r="AT14" i="11" s="1"/>
  <c r="AU11" i="11"/>
  <c r="AU14" i="11" s="1"/>
  <c r="AV11" i="11"/>
  <c r="AV14" i="11" s="1"/>
  <c r="AW11" i="11"/>
  <c r="AW14" i="11" s="1"/>
  <c r="AX11" i="11"/>
  <c r="AX14" i="11" s="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Y18" i="11"/>
  <c r="Y21" i="11" s="1"/>
  <c r="Z18" i="11"/>
  <c r="Z21" i="11" s="1"/>
  <c r="AA18" i="11"/>
  <c r="AA21" i="11" s="1"/>
  <c r="AB18" i="11"/>
  <c r="AB21" i="11" s="1"/>
  <c r="AC18" i="11"/>
  <c r="AC21" i="11" s="1"/>
  <c r="AD18" i="11"/>
  <c r="AD21" i="11" s="1"/>
  <c r="AE18" i="11"/>
  <c r="AE21" i="11" s="1"/>
  <c r="AF18" i="11"/>
  <c r="AF21" i="11" s="1"/>
  <c r="AG18" i="11"/>
  <c r="AG21" i="11" s="1"/>
  <c r="AH18" i="11"/>
  <c r="AH21" i="11" s="1"/>
  <c r="AI18" i="11"/>
  <c r="AI21" i="11" s="1"/>
  <c r="AJ18" i="11"/>
  <c r="AJ21" i="11" s="1"/>
  <c r="AK18" i="11"/>
  <c r="AK21" i="11" s="1"/>
  <c r="AL18" i="11"/>
  <c r="AL21" i="11" s="1"/>
  <c r="AM18" i="11"/>
  <c r="AM21" i="11" s="1"/>
  <c r="AN18" i="11"/>
  <c r="AN21" i="11" s="1"/>
  <c r="AO18" i="11"/>
  <c r="AO21" i="11" s="1"/>
  <c r="AP18" i="11"/>
  <c r="AP21" i="11" s="1"/>
  <c r="AQ18" i="11"/>
  <c r="AQ21" i="11" s="1"/>
  <c r="AR18" i="11"/>
  <c r="AR21" i="11" s="1"/>
  <c r="AS18" i="11"/>
  <c r="AS21" i="11" s="1"/>
  <c r="AT18" i="11"/>
  <c r="AT21" i="11" s="1"/>
  <c r="AU18" i="11"/>
  <c r="AU21" i="11" s="1"/>
  <c r="AV18" i="11"/>
  <c r="AV21" i="11" s="1"/>
  <c r="AW18" i="11"/>
  <c r="AW21" i="11" s="1"/>
  <c r="AX18" i="11"/>
  <c r="AX21" i="11" s="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Y25" i="11"/>
  <c r="Y28" i="11" s="1"/>
  <c r="Z25" i="11"/>
  <c r="Z28" i="11" s="1"/>
  <c r="AA25" i="11"/>
  <c r="AA28" i="11" s="1"/>
  <c r="AB25" i="11"/>
  <c r="AB28" i="11" s="1"/>
  <c r="AC25" i="11"/>
  <c r="AC28" i="11" s="1"/>
  <c r="AD25" i="11"/>
  <c r="AD28" i="11" s="1"/>
  <c r="AE25" i="11"/>
  <c r="AE28" i="11" s="1"/>
  <c r="AF25" i="11"/>
  <c r="AF28" i="11" s="1"/>
  <c r="AG25" i="11"/>
  <c r="AG28" i="11" s="1"/>
  <c r="AH25" i="11"/>
  <c r="AH28" i="11" s="1"/>
  <c r="AI25" i="11"/>
  <c r="AI28" i="11" s="1"/>
  <c r="AJ25" i="11"/>
  <c r="AJ28" i="11" s="1"/>
  <c r="AK25" i="11"/>
  <c r="AK28" i="11" s="1"/>
  <c r="AL25" i="11"/>
  <c r="AL28" i="11" s="1"/>
  <c r="AM25" i="11"/>
  <c r="AM28" i="11" s="1"/>
  <c r="AN25" i="11"/>
  <c r="AN28" i="11" s="1"/>
  <c r="AO25" i="11"/>
  <c r="AO28" i="11" s="1"/>
  <c r="AP25" i="11"/>
  <c r="AP28" i="11" s="1"/>
  <c r="AQ25" i="11"/>
  <c r="AQ28" i="11" s="1"/>
  <c r="AR25" i="11"/>
  <c r="AR28" i="11" s="1"/>
  <c r="AS25" i="11"/>
  <c r="AS28" i="11" s="1"/>
  <c r="AT25" i="11"/>
  <c r="AT28" i="11" s="1"/>
  <c r="AU25" i="11"/>
  <c r="AU28" i="11" s="1"/>
  <c r="AV25" i="11"/>
  <c r="AV28" i="11" s="1"/>
  <c r="AW25" i="11"/>
  <c r="AW28" i="11" s="1"/>
  <c r="AX25" i="11"/>
  <c r="AX28" i="11" s="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Y32" i="11"/>
  <c r="Y35" i="11" s="1"/>
  <c r="Z32" i="11"/>
  <c r="Z35" i="11" s="1"/>
  <c r="AA32" i="11"/>
  <c r="AA35" i="11" s="1"/>
  <c r="AB32" i="11"/>
  <c r="AB35" i="11" s="1"/>
  <c r="AC32" i="11"/>
  <c r="AC35" i="11" s="1"/>
  <c r="AD32" i="11"/>
  <c r="AD35" i="11" s="1"/>
  <c r="AE32" i="11"/>
  <c r="AE35" i="11" s="1"/>
  <c r="AF32" i="11"/>
  <c r="AF35" i="11" s="1"/>
  <c r="AG32" i="11"/>
  <c r="AG35" i="11" s="1"/>
  <c r="AH32" i="11"/>
  <c r="AH35" i="11" s="1"/>
  <c r="AI32" i="11"/>
  <c r="AI35" i="11" s="1"/>
  <c r="AJ32" i="11"/>
  <c r="AJ35" i="11" s="1"/>
  <c r="AK32" i="11"/>
  <c r="AK35" i="11" s="1"/>
  <c r="AL32" i="11"/>
  <c r="AL35" i="11" s="1"/>
  <c r="AM32" i="11"/>
  <c r="AM35" i="11" s="1"/>
  <c r="AN32" i="11"/>
  <c r="AN35" i="11" s="1"/>
  <c r="AO32" i="11"/>
  <c r="AO35" i="11" s="1"/>
  <c r="AP32" i="11"/>
  <c r="AP35" i="11" s="1"/>
  <c r="AQ32" i="11"/>
  <c r="AQ35" i="11" s="1"/>
  <c r="AR32" i="11"/>
  <c r="AR35" i="11" s="1"/>
  <c r="AS32" i="11"/>
  <c r="AS35" i="11" s="1"/>
  <c r="AT32" i="11"/>
  <c r="AT35" i="11" s="1"/>
  <c r="AU32" i="11"/>
  <c r="AU35" i="11" s="1"/>
  <c r="AV32" i="11"/>
  <c r="AV35" i="11" s="1"/>
  <c r="AW32" i="11"/>
  <c r="AW35" i="11" s="1"/>
  <c r="AX32" i="11"/>
  <c r="AX35" i="11" s="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Q34" i="11"/>
  <c r="AR34" i="11"/>
  <c r="AS34" i="11"/>
  <c r="AT34" i="11"/>
  <c r="AU34" i="11"/>
  <c r="AV34" i="11"/>
  <c r="AW34" i="11"/>
  <c r="AX34" i="11"/>
  <c r="Y68" i="11"/>
  <c r="Z68" i="11"/>
  <c r="AA68" i="11"/>
  <c r="AB68" i="11"/>
  <c r="AC68" i="11"/>
  <c r="AD68" i="11"/>
  <c r="AE68" i="11"/>
  <c r="AF68" i="11"/>
  <c r="AG68" i="11"/>
  <c r="AH68" i="11"/>
  <c r="AI68" i="11"/>
  <c r="AJ68" i="11"/>
  <c r="AK68" i="11"/>
  <c r="AL68" i="11"/>
  <c r="AM68" i="11"/>
  <c r="AN68" i="11"/>
  <c r="AO68" i="11"/>
  <c r="AP68" i="11"/>
  <c r="AQ68" i="11"/>
  <c r="AR68" i="11"/>
  <c r="AS68" i="11"/>
  <c r="AT68" i="11"/>
  <c r="AU68" i="11"/>
  <c r="AV68" i="11"/>
  <c r="AW68" i="11"/>
  <c r="AX68" i="11"/>
  <c r="Y72" i="11"/>
  <c r="Z72" i="11"/>
  <c r="AA72" i="11"/>
  <c r="AB72" i="11"/>
  <c r="AC72" i="11"/>
  <c r="AD72" i="11"/>
  <c r="AE72" i="11"/>
  <c r="AF72" i="11"/>
  <c r="AG72" i="11"/>
  <c r="AH72" i="11"/>
  <c r="AI72" i="11"/>
  <c r="AJ72" i="11"/>
  <c r="AK72" i="11"/>
  <c r="AL72" i="11"/>
  <c r="AM72" i="11"/>
  <c r="AN72" i="11"/>
  <c r="AO72" i="11"/>
  <c r="AP72" i="11"/>
  <c r="AQ72" i="11"/>
  <c r="AR72" i="11"/>
  <c r="AS72" i="11"/>
  <c r="AT72" i="11"/>
  <c r="AU72" i="11"/>
  <c r="AV72" i="11"/>
  <c r="AW72" i="11"/>
  <c r="AX72" i="11"/>
  <c r="Y76" i="11"/>
  <c r="Z76" i="11"/>
  <c r="AA76" i="11"/>
  <c r="AB76" i="11"/>
  <c r="AC76" i="11"/>
  <c r="AD76" i="11"/>
  <c r="AE76" i="11"/>
  <c r="AF76" i="11"/>
  <c r="AG76" i="11"/>
  <c r="AH76" i="11"/>
  <c r="AI76" i="11"/>
  <c r="AJ76" i="11"/>
  <c r="AK76" i="11"/>
  <c r="AL76" i="11"/>
  <c r="AM76" i="11"/>
  <c r="AN76" i="11"/>
  <c r="AO76" i="11"/>
  <c r="AP76" i="11"/>
  <c r="AQ76" i="11"/>
  <c r="AR76" i="11"/>
  <c r="AS76" i="11"/>
  <c r="AT76" i="11"/>
  <c r="AU76" i="11"/>
  <c r="AV76" i="11"/>
  <c r="AW76" i="11"/>
  <c r="AX76" i="11"/>
  <c r="Y80" i="11"/>
  <c r="Z80" i="11"/>
  <c r="AA80" i="11"/>
  <c r="AB80" i="11"/>
  <c r="AC80" i="11"/>
  <c r="AD80" i="11"/>
  <c r="AE80" i="11"/>
  <c r="AF80" i="11"/>
  <c r="AG80" i="11"/>
  <c r="AH80" i="11"/>
  <c r="AI80" i="11"/>
  <c r="AJ80" i="11"/>
  <c r="AK80" i="11"/>
  <c r="AL80" i="11"/>
  <c r="AM80" i="11"/>
  <c r="AN80" i="11"/>
  <c r="AO80" i="11"/>
  <c r="AP80" i="11"/>
  <c r="AQ80" i="11"/>
  <c r="AR80" i="11"/>
  <c r="AS80" i="11"/>
  <c r="AT80" i="11"/>
  <c r="AU80" i="11"/>
  <c r="AV80" i="11"/>
  <c r="AW80" i="11"/>
  <c r="AX80" i="11"/>
  <c r="Y85" i="11"/>
  <c r="Z85" i="11"/>
  <c r="AA85" i="11"/>
  <c r="AB85" i="11"/>
  <c r="AC85" i="11"/>
  <c r="AD85" i="11"/>
  <c r="AE85" i="11"/>
  <c r="AF85" i="11"/>
  <c r="AG85" i="11"/>
  <c r="AH85" i="11"/>
  <c r="AI85" i="11"/>
  <c r="AJ85" i="11"/>
  <c r="AK85" i="11"/>
  <c r="AL85" i="11"/>
  <c r="AM85" i="11"/>
  <c r="AN85" i="11"/>
  <c r="AO85" i="11"/>
  <c r="AP85" i="11"/>
  <c r="AQ85" i="11"/>
  <c r="AR85" i="11"/>
  <c r="AS85" i="11"/>
  <c r="AT85" i="11"/>
  <c r="AU85" i="11"/>
  <c r="AV85" i="11"/>
  <c r="AW85" i="11"/>
  <c r="AX85" i="11"/>
  <c r="H47" i="8" l="1"/>
  <c r="H56" i="8"/>
  <c r="H51" i="8"/>
  <c r="H50" i="9"/>
  <c r="BM50" i="9"/>
  <c r="BN50" i="9" s="1"/>
  <c r="K49" i="9"/>
  <c r="H49" i="9"/>
  <c r="H51" i="9"/>
  <c r="K51" i="9"/>
  <c r="K48" i="9"/>
  <c r="H48" i="9"/>
  <c r="K50" i="9"/>
  <c r="K55" i="8"/>
  <c r="H55" i="8"/>
  <c r="H57" i="8"/>
  <c r="K57" i="8"/>
  <c r="K53" i="8"/>
  <c r="H53" i="8"/>
  <c r="K50" i="8"/>
  <c r="H50" i="8"/>
  <c r="H52" i="8"/>
  <c r="K52" i="8"/>
  <c r="K49" i="8"/>
  <c r="H49" i="8"/>
  <c r="K46" i="8"/>
  <c r="H46" i="8"/>
  <c r="H48" i="8"/>
  <c r="K48" i="8"/>
  <c r="K45" i="8"/>
  <c r="H45" i="8"/>
  <c r="K56" i="8"/>
  <c r="K51" i="8"/>
  <c r="K47" i="8"/>
  <c r="BM57" i="8" l="1"/>
  <c r="BM50" i="8"/>
  <c r="BM51" i="8"/>
  <c r="BM56" i="8"/>
  <c r="BM49" i="8"/>
  <c r="BM52" i="8"/>
  <c r="BM48" i="8"/>
  <c r="BM47" i="8"/>
  <c r="BM45" i="8"/>
  <c r="BM46" i="8"/>
  <c r="BM53" i="8"/>
  <c r="BM55" i="8"/>
  <c r="O56" i="2"/>
  <c r="O57" i="2"/>
  <c r="O58" i="2"/>
  <c r="Q64" i="2"/>
  <c r="Q58" i="2" s="1"/>
  <c r="R64" i="2"/>
  <c r="S64" i="2"/>
  <c r="T64" i="2"/>
  <c r="T58" i="2" s="1"/>
  <c r="U64" i="2"/>
  <c r="U58" i="2" s="1"/>
  <c r="V64" i="2"/>
  <c r="V58" i="2" s="1"/>
  <c r="W64" i="2"/>
  <c r="W58" i="2" s="1"/>
  <c r="X64" i="2"/>
  <c r="Y64" i="2"/>
  <c r="Y58" i="2" s="1"/>
  <c r="Z64" i="2"/>
  <c r="AA64" i="2"/>
  <c r="AA58" i="2" s="1"/>
  <c r="AB64" i="2"/>
  <c r="AB58" i="2" s="1"/>
  <c r="AC64" i="2"/>
  <c r="AD64" i="2"/>
  <c r="AD58" i="2" s="1"/>
  <c r="AE64" i="2"/>
  <c r="AF64" i="2"/>
  <c r="AG64" i="2"/>
  <c r="AG58" i="2" s="1"/>
  <c r="AH64" i="2"/>
  <c r="AH58" i="2" s="1"/>
  <c r="AJ64" i="2"/>
  <c r="AK64" i="2"/>
  <c r="AL64" i="2"/>
  <c r="AM64" i="2"/>
  <c r="AM58" i="2" s="1"/>
  <c r="AN64" i="2"/>
  <c r="AN58" i="2" s="1"/>
  <c r="AO64" i="2"/>
  <c r="AP64" i="2"/>
  <c r="AP58" i="2" s="1"/>
  <c r="AQ64" i="2"/>
  <c r="AQ58" i="2" s="1"/>
  <c r="AR64" i="2"/>
  <c r="AR58" i="2" s="1"/>
  <c r="AS64" i="2"/>
  <c r="AS58" i="2" s="1"/>
  <c r="AT64" i="2"/>
  <c r="AT58" i="2" s="1"/>
  <c r="AU64" i="2"/>
  <c r="AU58" i="2" s="1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Q67" i="8"/>
  <c r="R68" i="8"/>
  <c r="S68" i="8"/>
  <c r="T68" i="8"/>
  <c r="U68" i="8"/>
  <c r="V68" i="8"/>
  <c r="W68" i="8"/>
  <c r="X68" i="8"/>
  <c r="Y68" i="8"/>
  <c r="Z68" i="8"/>
  <c r="AA68" i="8"/>
  <c r="AB68" i="8"/>
  <c r="AC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Q61" i="9"/>
  <c r="Q55" i="9" s="1"/>
  <c r="R61" i="9"/>
  <c r="S61" i="9"/>
  <c r="S55" i="9" s="1"/>
  <c r="T61" i="9"/>
  <c r="T55" i="9" s="1"/>
  <c r="U61" i="9"/>
  <c r="U55" i="9" s="1"/>
  <c r="V61" i="9"/>
  <c r="V55" i="9" s="1"/>
  <c r="W61" i="9"/>
  <c r="W55" i="9" s="1"/>
  <c r="X61" i="9"/>
  <c r="Y61" i="9"/>
  <c r="Y55" i="9" s="1"/>
  <c r="Z61" i="9"/>
  <c r="AA61" i="9"/>
  <c r="AA55" i="9" s="1"/>
  <c r="AB61" i="9"/>
  <c r="AB55" i="9" s="1"/>
  <c r="AC61" i="9"/>
  <c r="AD61" i="9"/>
  <c r="AD55" i="9" s="1"/>
  <c r="AE61" i="9"/>
  <c r="AF61" i="9"/>
  <c r="AG61" i="9"/>
  <c r="AG55" i="9" s="1"/>
  <c r="AH61" i="9"/>
  <c r="AH55" i="9" s="1"/>
  <c r="AI61" i="9"/>
  <c r="AJ61" i="9"/>
  <c r="AK61" i="9"/>
  <c r="AL61" i="9"/>
  <c r="AL55" i="9" s="1"/>
  <c r="AM61" i="9"/>
  <c r="AM55" i="9" s="1"/>
  <c r="AN61" i="9"/>
  <c r="AO61" i="9"/>
  <c r="AO55" i="9" s="1"/>
  <c r="AP61" i="9"/>
  <c r="AP55" i="9" s="1"/>
  <c r="AQ61" i="9"/>
  <c r="AQ55" i="9" s="1"/>
  <c r="AR61" i="9"/>
  <c r="AR55" i="9" s="1"/>
  <c r="AS61" i="9"/>
  <c r="AS55" i="9" s="1"/>
  <c r="AT61" i="9"/>
  <c r="AT55" i="9" s="1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Q56" i="1"/>
  <c r="R56" i="1"/>
  <c r="S56" i="1"/>
  <c r="T56" i="1"/>
  <c r="U56" i="1"/>
  <c r="V56" i="1"/>
  <c r="W56" i="1"/>
  <c r="X56" i="1"/>
  <c r="Y56" i="1"/>
  <c r="Z56" i="1"/>
  <c r="AA56" i="1"/>
  <c r="AB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Y56" i="1"/>
  <c r="BJ56" i="1"/>
  <c r="BL56" i="1"/>
  <c r="P64" i="2"/>
  <c r="P30" i="14"/>
  <c r="P68" i="8"/>
  <c r="P61" i="9"/>
  <c r="P27" i="10"/>
  <c r="P56" i="1"/>
  <c r="P55" i="2"/>
  <c r="P21" i="14"/>
  <c r="P59" i="8"/>
  <c r="P52" i="9"/>
  <c r="P18" i="10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S58" i="2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S59" i="8"/>
  <c r="T59" i="8"/>
  <c r="U59" i="8"/>
  <c r="V59" i="8"/>
  <c r="W59" i="8"/>
  <c r="X59" i="8"/>
  <c r="Y59" i="8"/>
  <c r="Z59" i="8"/>
  <c r="AA59" i="8"/>
  <c r="AB59" i="8"/>
  <c r="AC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AT59" i="8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AR52" i="9"/>
  <c r="AS52" i="9"/>
  <c r="AT52" i="9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S46" i="1"/>
  <c r="T46" i="1"/>
  <c r="U46" i="1"/>
  <c r="V46" i="1"/>
  <c r="W46" i="1"/>
  <c r="X46" i="1"/>
  <c r="Y46" i="1"/>
  <c r="Z46" i="1"/>
  <c r="AA46" i="1"/>
  <c r="AB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Y46" i="1"/>
  <c r="BJ46" i="1"/>
  <c r="BL46" i="1"/>
  <c r="R55" i="2"/>
  <c r="R21" i="14"/>
  <c r="R59" i="8"/>
  <c r="R52" i="9"/>
  <c r="R18" i="10"/>
  <c r="R46" i="1"/>
  <c r="O31" i="14"/>
  <c r="Q21" i="14"/>
  <c r="O21" i="14"/>
  <c r="O69" i="8"/>
  <c r="O59" i="8"/>
  <c r="O62" i="9"/>
  <c r="Q52" i="9"/>
  <c r="O52" i="9"/>
  <c r="O28" i="10"/>
  <c r="Q18" i="10"/>
  <c r="O18" i="10"/>
  <c r="Q55" i="2"/>
  <c r="O55" i="2"/>
  <c r="Q60" i="8" l="1"/>
  <c r="Q62" i="8" s="1"/>
  <c r="Q61" i="8"/>
  <c r="Q23" i="14"/>
  <c r="Q24" i="14"/>
  <c r="AR20" i="10"/>
  <c r="AR21" i="10"/>
  <c r="AK20" i="10"/>
  <c r="AK21" i="10"/>
  <c r="AG20" i="10"/>
  <c r="AG22" i="10" s="1"/>
  <c r="AG21" i="10"/>
  <c r="Z20" i="10"/>
  <c r="Z22" i="10" s="1"/>
  <c r="Z21" i="10"/>
  <c r="V20" i="10"/>
  <c r="V22" i="10" s="1"/>
  <c r="V21" i="10"/>
  <c r="AQ61" i="8"/>
  <c r="AQ62" i="8"/>
  <c r="AF61" i="8"/>
  <c r="AF63" i="8" s="1"/>
  <c r="AF62" i="8"/>
  <c r="O20" i="10"/>
  <c r="O21" i="10"/>
  <c r="R61" i="8"/>
  <c r="R63" i="8" s="1"/>
  <c r="R62" i="8"/>
  <c r="AQ21" i="10"/>
  <c r="AQ20" i="10"/>
  <c r="AQ22" i="10" s="1"/>
  <c r="AN21" i="10"/>
  <c r="AN20" i="10"/>
  <c r="AJ21" i="10"/>
  <c r="AJ20" i="10"/>
  <c r="AJ22" i="10" s="1"/>
  <c r="AF21" i="10"/>
  <c r="AF20" i="10"/>
  <c r="AF22" i="10" s="1"/>
  <c r="AC21" i="10"/>
  <c r="AC20" i="10"/>
  <c r="Y21" i="10"/>
  <c r="Y20" i="10"/>
  <c r="Y22" i="10" s="1"/>
  <c r="U21" i="10"/>
  <c r="U20" i="10"/>
  <c r="AT61" i="8"/>
  <c r="AT62" i="8"/>
  <c r="AM61" i="8"/>
  <c r="AM63" i="8" s="1"/>
  <c r="AM62" i="8"/>
  <c r="AE61" i="8"/>
  <c r="AE63" i="8" s="1"/>
  <c r="AE62" i="8"/>
  <c r="X61" i="8"/>
  <c r="X63" i="8" s="1"/>
  <c r="X62" i="8"/>
  <c r="AP24" i="14"/>
  <c r="AP23" i="14"/>
  <c r="AP25" i="14" s="1"/>
  <c r="AM24" i="14"/>
  <c r="AM23" i="14"/>
  <c r="AI24" i="14"/>
  <c r="AI23" i="14"/>
  <c r="AI25" i="14" s="1"/>
  <c r="AE23" i="14"/>
  <c r="AE25" i="14" s="1"/>
  <c r="AE24" i="14"/>
  <c r="AB24" i="14"/>
  <c r="AB23" i="14"/>
  <c r="AB25" i="14" s="1"/>
  <c r="X24" i="14"/>
  <c r="X23" i="14"/>
  <c r="X25" i="14" s="1"/>
  <c r="T24" i="14"/>
  <c r="T23" i="14"/>
  <c r="T25" i="14" s="1"/>
  <c r="P20" i="10"/>
  <c r="P22" i="10" s="1"/>
  <c r="P21" i="10"/>
  <c r="AT20" i="10"/>
  <c r="AT21" i="10"/>
  <c r="AP20" i="10"/>
  <c r="AP22" i="10" s="1"/>
  <c r="AP21" i="10"/>
  <c r="AM21" i="10"/>
  <c r="AM20" i="10"/>
  <c r="AM22" i="10" s="1"/>
  <c r="AI21" i="10"/>
  <c r="AI20" i="10"/>
  <c r="AE20" i="10"/>
  <c r="AE22" i="10" s="1"/>
  <c r="AE21" i="10"/>
  <c r="AB20" i="10"/>
  <c r="AB22" i="10" s="1"/>
  <c r="AB21" i="10"/>
  <c r="X21" i="10"/>
  <c r="X20" i="10"/>
  <c r="T21" i="10"/>
  <c r="T20" i="10"/>
  <c r="T22" i="10" s="1"/>
  <c r="AN61" i="8"/>
  <c r="AN63" i="8" s="1"/>
  <c r="AN62" i="8"/>
  <c r="AJ61" i="8"/>
  <c r="AJ63" i="8" s="1"/>
  <c r="AJ62" i="8"/>
  <c r="AC61" i="8"/>
  <c r="AC62" i="8"/>
  <c r="Y61" i="8"/>
  <c r="Y63" i="8" s="1"/>
  <c r="Y62" i="8"/>
  <c r="U61" i="8"/>
  <c r="U63" i="8" s="1"/>
  <c r="U62" i="8"/>
  <c r="AQ23" i="14"/>
  <c r="AQ25" i="14" s="1"/>
  <c r="AQ24" i="14"/>
  <c r="AN23" i="14"/>
  <c r="AN24" i="14"/>
  <c r="AJ23" i="14"/>
  <c r="AJ24" i="14"/>
  <c r="AF23" i="14"/>
  <c r="AF24" i="14"/>
  <c r="AC23" i="14"/>
  <c r="AC25" i="14" s="1"/>
  <c r="AC24" i="14"/>
  <c r="Y23" i="14"/>
  <c r="Y24" i="14"/>
  <c r="U23" i="14"/>
  <c r="U24" i="14"/>
  <c r="P23" i="14"/>
  <c r="P25" i="14" s="1"/>
  <c r="P24" i="14"/>
  <c r="AP62" i="8"/>
  <c r="AP61" i="8"/>
  <c r="AP63" i="8" s="1"/>
  <c r="AI62" i="8"/>
  <c r="AI61" i="8"/>
  <c r="AI63" i="8" s="1"/>
  <c r="AB62" i="8"/>
  <c r="AB61" i="8"/>
  <c r="T62" i="8"/>
  <c r="T61" i="8"/>
  <c r="T63" i="8" s="1"/>
  <c r="AT23" i="14"/>
  <c r="AT25" i="14" s="1"/>
  <c r="AT24" i="14"/>
  <c r="Q20" i="10"/>
  <c r="Q22" i="10" s="1"/>
  <c r="Q21" i="10"/>
  <c r="R23" i="14"/>
  <c r="R24" i="14"/>
  <c r="AS61" i="8"/>
  <c r="AS63" i="8" s="1"/>
  <c r="AS62" i="8"/>
  <c r="AO61" i="8"/>
  <c r="AO63" i="8" s="1"/>
  <c r="AO62" i="8"/>
  <c r="AL61" i="8"/>
  <c r="AL63" i="8" s="1"/>
  <c r="AL62" i="8"/>
  <c r="AH61" i="8"/>
  <c r="AH62" i="8"/>
  <c r="AA61" i="8"/>
  <c r="AA62" i="8"/>
  <c r="W61" i="8"/>
  <c r="W63" i="8" s="1"/>
  <c r="W62" i="8"/>
  <c r="S61" i="8"/>
  <c r="S63" i="8" s="1"/>
  <c r="S62" i="8"/>
  <c r="AS23" i="14"/>
  <c r="AS24" i="14"/>
  <c r="AO23" i="14"/>
  <c r="AO24" i="14"/>
  <c r="AL24" i="14"/>
  <c r="AL23" i="14"/>
  <c r="AH24" i="14"/>
  <c r="AH23" i="14"/>
  <c r="AH25" i="14" s="1"/>
  <c r="AD23" i="14"/>
  <c r="AD24" i="14"/>
  <c r="AA23" i="14"/>
  <c r="AA25" i="14" s="1"/>
  <c r="AA24" i="14"/>
  <c r="W24" i="14"/>
  <c r="W23" i="14"/>
  <c r="S24" i="14"/>
  <c r="S23" i="14"/>
  <c r="S25" i="14" s="1"/>
  <c r="O61" i="8"/>
  <c r="O63" i="8" s="1"/>
  <c r="O62" i="8"/>
  <c r="O23" i="14"/>
  <c r="O25" i="14" s="1"/>
  <c r="O24" i="14"/>
  <c r="R20" i="10"/>
  <c r="R22" i="10" s="1"/>
  <c r="R21" i="10"/>
  <c r="AS20" i="10"/>
  <c r="AS22" i="10" s="1"/>
  <c r="AS21" i="10"/>
  <c r="AO20" i="10"/>
  <c r="AO22" i="10" s="1"/>
  <c r="AO21" i="10"/>
  <c r="AL20" i="10"/>
  <c r="AL21" i="10"/>
  <c r="AH21" i="10"/>
  <c r="AH20" i="10"/>
  <c r="AD20" i="10"/>
  <c r="AD21" i="10"/>
  <c r="AA20" i="10"/>
  <c r="AA21" i="10"/>
  <c r="W20" i="10"/>
  <c r="W22" i="10" s="1"/>
  <c r="W21" i="10"/>
  <c r="S21" i="10"/>
  <c r="S20" i="10"/>
  <c r="AR61" i="8"/>
  <c r="AR63" i="8" s="1"/>
  <c r="AR62" i="8"/>
  <c r="AK61" i="8"/>
  <c r="AK63" i="8" s="1"/>
  <c r="AK62" i="8"/>
  <c r="AG61" i="8"/>
  <c r="AG63" i="8" s="1"/>
  <c r="AG62" i="8"/>
  <c r="Z61" i="8"/>
  <c r="Z62" i="8"/>
  <c r="V61" i="8"/>
  <c r="V62" i="8"/>
  <c r="AR23" i="14"/>
  <c r="AR24" i="14"/>
  <c r="AK23" i="14"/>
  <c r="AK24" i="14"/>
  <c r="AG23" i="14"/>
  <c r="AG25" i="14" s="1"/>
  <c r="AG24" i="14"/>
  <c r="Z23" i="14"/>
  <c r="Z24" i="14"/>
  <c r="V23" i="14"/>
  <c r="V25" i="14" s="1"/>
  <c r="V24" i="14"/>
  <c r="P61" i="8"/>
  <c r="P62" i="8"/>
  <c r="R49" i="1"/>
  <c r="R48" i="1"/>
  <c r="AR48" i="1"/>
  <c r="AR50" i="1" s="1"/>
  <c r="AR49" i="1"/>
  <c r="AK48" i="1"/>
  <c r="AK50" i="1" s="1"/>
  <c r="AK49" i="1"/>
  <c r="AD48" i="1"/>
  <c r="AD50" i="1" s="1"/>
  <c r="AD49" i="1"/>
  <c r="U48" i="1"/>
  <c r="U50" i="1" s="1"/>
  <c r="U49" i="1"/>
  <c r="AJ48" i="1"/>
  <c r="AJ50" i="1" s="1"/>
  <c r="AJ49" i="1"/>
  <c r="AP49" i="1"/>
  <c r="AP48" i="1"/>
  <c r="AP50" i="1" s="1"/>
  <c r="AI49" i="1"/>
  <c r="AI48" i="1"/>
  <c r="AA48" i="1"/>
  <c r="AA50" i="1" s="1"/>
  <c r="AA49" i="1"/>
  <c r="S48" i="1"/>
  <c r="S49" i="1"/>
  <c r="AQ48" i="1"/>
  <c r="AQ50" i="1" s="1"/>
  <c r="AQ49" i="1"/>
  <c r="AY49" i="1"/>
  <c r="AY48" i="1"/>
  <c r="AH49" i="1"/>
  <c r="AH48" i="1"/>
  <c r="Z49" i="1"/>
  <c r="Z48" i="1"/>
  <c r="AV49" i="1"/>
  <c r="AV48" i="1"/>
  <c r="AV50" i="1" s="1"/>
  <c r="AO48" i="1"/>
  <c r="AO50" i="1" s="1"/>
  <c r="AO49" i="1"/>
  <c r="AG49" i="1"/>
  <c r="AG48" i="1"/>
  <c r="Y49" i="1"/>
  <c r="Y48" i="1"/>
  <c r="AB48" i="1"/>
  <c r="AB49" i="1"/>
  <c r="BJ48" i="1"/>
  <c r="BJ50" i="1" s="1"/>
  <c r="BJ49" i="1"/>
  <c r="AU48" i="1"/>
  <c r="AU49" i="1"/>
  <c r="AN48" i="1"/>
  <c r="AN49" i="1"/>
  <c r="AF49" i="1"/>
  <c r="AF48" i="1"/>
  <c r="X49" i="1"/>
  <c r="X48" i="1"/>
  <c r="X50" i="1" s="1"/>
  <c r="T48" i="1"/>
  <c r="T49" i="1"/>
  <c r="BL48" i="1"/>
  <c r="BL50" i="1" s="1"/>
  <c r="BL49" i="1"/>
  <c r="AT48" i="1"/>
  <c r="AT49" i="1"/>
  <c r="AM48" i="1"/>
  <c r="AM49" i="1"/>
  <c r="AE48" i="1"/>
  <c r="AE50" i="1" s="1"/>
  <c r="AE49" i="1"/>
  <c r="W48" i="1"/>
  <c r="W50" i="1" s="1"/>
  <c r="W49" i="1"/>
  <c r="AS48" i="1"/>
  <c r="AS50" i="1" s="1"/>
  <c r="AS49" i="1"/>
  <c r="AL48" i="1"/>
  <c r="AL49" i="1"/>
  <c r="V48" i="1"/>
  <c r="V49" i="1"/>
  <c r="P49" i="1"/>
  <c r="P48" i="1"/>
  <c r="P50" i="1" s="1"/>
  <c r="O59" i="2"/>
  <c r="O63" i="2" s="1"/>
  <c r="O60" i="2"/>
  <c r="O61" i="2"/>
  <c r="O62" i="2"/>
  <c r="Q63" i="8" l="1"/>
  <c r="Q65" i="8" s="1"/>
  <c r="AF64" i="8"/>
  <c r="AF66" i="8" s="1"/>
  <c r="AO24" i="10"/>
  <c r="X23" i="10"/>
  <c r="V24" i="10"/>
  <c r="S23" i="10"/>
  <c r="AA23" i="10"/>
  <c r="AF24" i="10"/>
  <c r="AS24" i="10"/>
  <c r="AM24" i="10"/>
  <c r="AF23" i="10"/>
  <c r="AF25" i="10" s="1"/>
  <c r="AQ24" i="10"/>
  <c r="AQ23" i="10"/>
  <c r="AQ25" i="10" s="1"/>
  <c r="V23" i="10"/>
  <c r="S22" i="10"/>
  <c r="S24" i="10" s="1"/>
  <c r="AE24" i="10"/>
  <c r="AB24" i="10"/>
  <c r="AM23" i="10"/>
  <c r="AM25" i="10" s="1"/>
  <c r="P23" i="10"/>
  <c r="P25" i="10" s="1"/>
  <c r="Y24" i="10"/>
  <c r="AG23" i="10"/>
  <c r="AG25" i="10" s="1"/>
  <c r="AB23" i="10"/>
  <c r="AP23" i="10"/>
  <c r="AP25" i="10" s="1"/>
  <c r="AG64" i="8"/>
  <c r="AG66" i="8" s="1"/>
  <c r="Q64" i="8"/>
  <c r="U65" i="8"/>
  <c r="W64" i="8"/>
  <c r="W66" i="8" s="1"/>
  <c r="P64" i="8"/>
  <c r="Z26" i="14"/>
  <c r="O65" i="8"/>
  <c r="AS64" i="8"/>
  <c r="AS66" i="8" s="1"/>
  <c r="T27" i="14"/>
  <c r="AO26" i="14"/>
  <c r="AO65" i="8"/>
  <c r="S64" i="8"/>
  <c r="S66" i="8" s="1"/>
  <c r="AB27" i="14"/>
  <c r="AP26" i="14"/>
  <c r="AP28" i="14" s="1"/>
  <c r="AO64" i="8"/>
  <c r="AO66" i="8" s="1"/>
  <c r="Y26" i="14"/>
  <c r="Z25" i="14"/>
  <c r="Z27" i="14" s="1"/>
  <c r="AA64" i="8"/>
  <c r="AS65" i="8"/>
  <c r="AJ65" i="8"/>
  <c r="AH27" i="14"/>
  <c r="AL64" i="8"/>
  <c r="AL66" i="8" s="1"/>
  <c r="AP64" i="8"/>
  <c r="AP66" i="8" s="1"/>
  <c r="U64" i="8"/>
  <c r="U66" i="8" s="1"/>
  <c r="AJ64" i="8"/>
  <c r="AJ66" i="8" s="1"/>
  <c r="AI27" i="14"/>
  <c r="R65" i="8"/>
  <c r="AK65" i="8"/>
  <c r="AT27" i="14"/>
  <c r="T64" i="8"/>
  <c r="T66" i="8" s="1"/>
  <c r="AE26" i="14"/>
  <c r="AE28" i="14" s="1"/>
  <c r="AM26" i="14"/>
  <c r="AR25" i="14"/>
  <c r="AR27" i="14" s="1"/>
  <c r="AR65" i="8"/>
  <c r="S65" i="8"/>
  <c r="AT26" i="14"/>
  <c r="AT28" i="14" s="1"/>
  <c r="Y25" i="14"/>
  <c r="AE27" i="14"/>
  <c r="AE64" i="8"/>
  <c r="AE66" i="8" s="1"/>
  <c r="AM64" i="8"/>
  <c r="AM66" i="8" s="1"/>
  <c r="AT63" i="8"/>
  <c r="AT65" i="8" s="1"/>
  <c r="V64" i="8"/>
  <c r="V63" i="8"/>
  <c r="V65" i="8" s="1"/>
  <c r="AD26" i="14"/>
  <c r="AI64" i="8"/>
  <c r="AI66" i="8" s="1"/>
  <c r="AC27" i="14"/>
  <c r="AQ27" i="14"/>
  <c r="Y65" i="8"/>
  <c r="X26" i="14"/>
  <c r="X28" i="14" s="1"/>
  <c r="V26" i="14"/>
  <c r="V28" i="14" s="1"/>
  <c r="AG65" i="8"/>
  <c r="AR64" i="8"/>
  <c r="AR66" i="8" s="1"/>
  <c r="AA27" i="14"/>
  <c r="AC26" i="14"/>
  <c r="AC28" i="14" s="1"/>
  <c r="AF26" i="14"/>
  <c r="R64" i="8"/>
  <c r="R66" i="8" s="1"/>
  <c r="Y51" i="1"/>
  <c r="AL51" i="1"/>
  <c r="AB51" i="1"/>
  <c r="AG51" i="1"/>
  <c r="AH51" i="1"/>
  <c r="AY51" i="1"/>
  <c r="AA51" i="1"/>
  <c r="AA53" i="1" s="1"/>
  <c r="AL26" i="14"/>
  <c r="X27" i="14"/>
  <c r="U22" i="10"/>
  <c r="U24" i="10" s="1"/>
  <c r="AN22" i="10"/>
  <c r="AN24" i="10" s="1"/>
  <c r="T50" i="1"/>
  <c r="T52" i="1" s="1"/>
  <c r="T51" i="1"/>
  <c r="AG27" i="14"/>
  <c r="AG26" i="14"/>
  <c r="AG28" i="14" s="1"/>
  <c r="AD23" i="10"/>
  <c r="AD22" i="10"/>
  <c r="AD24" i="10" s="1"/>
  <c r="AO25" i="14"/>
  <c r="AO27" i="14" s="1"/>
  <c r="AS26" i="14"/>
  <c r="AS25" i="14"/>
  <c r="AS27" i="14" s="1"/>
  <c r="AH64" i="8"/>
  <c r="U25" i="14"/>
  <c r="U27" i="14" s="1"/>
  <c r="U26" i="14"/>
  <c r="AN25" i="14"/>
  <c r="AN27" i="14" s="1"/>
  <c r="W23" i="10"/>
  <c r="W25" i="10" s="1"/>
  <c r="W24" i="10"/>
  <c r="AC63" i="8"/>
  <c r="AC65" i="8" s="1"/>
  <c r="AC22" i="10"/>
  <c r="AC24" i="10" s="1"/>
  <c r="AC23" i="10"/>
  <c r="AK22" i="10"/>
  <c r="AK24" i="10" s="1"/>
  <c r="AR22" i="10"/>
  <c r="AU51" i="1"/>
  <c r="P63" i="8"/>
  <c r="AK26" i="14"/>
  <c r="AA22" i="10"/>
  <c r="AA24" i="10" s="1"/>
  <c r="AH22" i="10"/>
  <c r="AH24" i="10" s="1"/>
  <c r="O27" i="14"/>
  <c r="AD25" i="14"/>
  <c r="Y64" i="8"/>
  <c r="Y66" i="8" s="1"/>
  <c r="AN65" i="8"/>
  <c r="T23" i="10"/>
  <c r="T25" i="10" s="1"/>
  <c r="X64" i="8"/>
  <c r="X66" i="8" s="1"/>
  <c r="O23" i="10"/>
  <c r="O22" i="10"/>
  <c r="O24" i="10" s="1"/>
  <c r="AF65" i="8"/>
  <c r="Z24" i="10"/>
  <c r="Z63" i="8"/>
  <c r="Z65" i="8" s="1"/>
  <c r="Z64" i="8"/>
  <c r="AL23" i="10"/>
  <c r="AL22" i="10"/>
  <c r="R23" i="10"/>
  <c r="S27" i="14"/>
  <c r="W26" i="14"/>
  <c r="W65" i="8"/>
  <c r="AH63" i="8"/>
  <c r="AH65" i="8" s="1"/>
  <c r="AL65" i="8"/>
  <c r="R26" i="14"/>
  <c r="Q23" i="10"/>
  <c r="Q25" i="10" s="1"/>
  <c r="T65" i="8"/>
  <c r="AP65" i="8"/>
  <c r="P26" i="14"/>
  <c r="P28" i="14" s="1"/>
  <c r="AF25" i="14"/>
  <c r="AF27" i="14" s="1"/>
  <c r="AN26" i="14"/>
  <c r="AQ26" i="14"/>
  <c r="AC64" i="8"/>
  <c r="T24" i="10"/>
  <c r="AI22" i="10"/>
  <c r="AI24" i="10" s="1"/>
  <c r="AT23" i="10"/>
  <c r="AP27" i="14"/>
  <c r="AE65" i="8"/>
  <c r="AJ24" i="10"/>
  <c r="AQ63" i="8"/>
  <c r="AQ65" i="8" s="1"/>
  <c r="AQ64" i="8"/>
  <c r="Z23" i="10"/>
  <c r="Z25" i="10" s="1"/>
  <c r="AK23" i="10"/>
  <c r="Q26" i="14"/>
  <c r="Q25" i="14"/>
  <c r="Q27" i="14" s="1"/>
  <c r="AL50" i="1"/>
  <c r="AL52" i="1" s="1"/>
  <c r="AT51" i="1"/>
  <c r="AY50" i="1"/>
  <c r="AJ51" i="1"/>
  <c r="AJ53" i="1" s="1"/>
  <c r="V27" i="14"/>
  <c r="AK25" i="14"/>
  <c r="AK27" i="14" s="1"/>
  <c r="AR26" i="14"/>
  <c r="AK64" i="8"/>
  <c r="AK66" i="8" s="1"/>
  <c r="AH23" i="10"/>
  <c r="AO23" i="10"/>
  <c r="AO25" i="10" s="1"/>
  <c r="R24" i="10"/>
  <c r="S26" i="14"/>
  <c r="S28" i="14" s="1"/>
  <c r="W25" i="14"/>
  <c r="W27" i="14" s="1"/>
  <c r="AA26" i="14"/>
  <c r="AH26" i="14"/>
  <c r="AH28" i="14" s="1"/>
  <c r="AL25" i="14"/>
  <c r="AL27" i="14" s="1"/>
  <c r="AA63" i="8"/>
  <c r="R25" i="14"/>
  <c r="R27" i="14" s="1"/>
  <c r="Q24" i="10"/>
  <c r="AB63" i="8"/>
  <c r="AB65" i="8" s="1"/>
  <c r="AI65" i="8"/>
  <c r="P27" i="14"/>
  <c r="AJ25" i="14"/>
  <c r="AJ26" i="14"/>
  <c r="X22" i="10"/>
  <c r="X24" i="10" s="1"/>
  <c r="AB25" i="10"/>
  <c r="AE23" i="10"/>
  <c r="AP24" i="10"/>
  <c r="AT22" i="10"/>
  <c r="AT24" i="10" s="1"/>
  <c r="P24" i="10"/>
  <c r="T26" i="14"/>
  <c r="T28" i="14" s="1"/>
  <c r="AB26" i="14"/>
  <c r="AB28" i="14" s="1"/>
  <c r="AM25" i="14"/>
  <c r="X65" i="8"/>
  <c r="AM65" i="8"/>
  <c r="AT64" i="8"/>
  <c r="U23" i="10"/>
  <c r="Y23" i="10"/>
  <c r="AJ23" i="10"/>
  <c r="AJ25" i="10" s="1"/>
  <c r="AN23" i="10"/>
  <c r="AG24" i="10"/>
  <c r="AR23" i="10"/>
  <c r="AI51" i="1"/>
  <c r="U51" i="1"/>
  <c r="U53" i="1" s="1"/>
  <c r="AS23" i="10"/>
  <c r="O26" i="14"/>
  <c r="O28" i="14" s="1"/>
  <c r="O64" i="8"/>
  <c r="O66" i="8" s="1"/>
  <c r="AB64" i="8"/>
  <c r="AN64" i="8"/>
  <c r="AN66" i="8" s="1"/>
  <c r="AI23" i="10"/>
  <c r="AI26" i="14"/>
  <c r="AI28" i="14" s="1"/>
  <c r="R51" i="1"/>
  <c r="S51" i="1"/>
  <c r="AK51" i="1"/>
  <c r="AK53" i="1" s="1"/>
  <c r="V51" i="1"/>
  <c r="AS51" i="1"/>
  <c r="AS53" i="1" s="1"/>
  <c r="Z50" i="1"/>
  <c r="Z52" i="1" s="1"/>
  <c r="AJ52" i="1"/>
  <c r="AM51" i="1"/>
  <c r="AN51" i="1"/>
  <c r="AB50" i="1"/>
  <c r="W52" i="1"/>
  <c r="AT50" i="1"/>
  <c r="AN50" i="1"/>
  <c r="AQ51" i="1"/>
  <c r="AQ53" i="1" s="1"/>
  <c r="AD51" i="1"/>
  <c r="AD53" i="1" s="1"/>
  <c r="AR51" i="1"/>
  <c r="AR53" i="1" s="1"/>
  <c r="X52" i="1"/>
  <c r="AS52" i="1"/>
  <c r="AQ52" i="1"/>
  <c r="AE51" i="1"/>
  <c r="AE53" i="1" s="1"/>
  <c r="Z51" i="1"/>
  <c r="AP51" i="1"/>
  <c r="AP53" i="1" s="1"/>
  <c r="AG50" i="1"/>
  <c r="AD52" i="1"/>
  <c r="AR52" i="1"/>
  <c r="AM50" i="1"/>
  <c r="AM52" i="1" s="1"/>
  <c r="BL51" i="1"/>
  <c r="BL53" i="1" s="1"/>
  <c r="X51" i="1"/>
  <c r="X53" i="1" s="1"/>
  <c r="AF51" i="1"/>
  <c r="AU50" i="1"/>
  <c r="AU52" i="1" s="1"/>
  <c r="Y50" i="1"/>
  <c r="AV52" i="1"/>
  <c r="S50" i="1"/>
  <c r="AA52" i="1"/>
  <c r="AI50" i="1"/>
  <c r="AI52" i="1" s="1"/>
  <c r="U52" i="1"/>
  <c r="AK52" i="1"/>
  <c r="AE52" i="1"/>
  <c r="BJ51" i="1"/>
  <c r="W51" i="1"/>
  <c r="W53" i="1" s="1"/>
  <c r="AF50" i="1"/>
  <c r="BJ52" i="1"/>
  <c r="AO52" i="1"/>
  <c r="V50" i="1"/>
  <c r="V52" i="1" s="1"/>
  <c r="AH50" i="1"/>
  <c r="R50" i="1"/>
  <c r="BL52" i="1"/>
  <c r="AO51" i="1"/>
  <c r="AO53" i="1" s="1"/>
  <c r="AV51" i="1"/>
  <c r="AV53" i="1" s="1"/>
  <c r="AP52" i="1"/>
  <c r="P51" i="1"/>
  <c r="P53" i="1" s="1"/>
  <c r="P52" i="1"/>
  <c r="AF67" i="8" l="1"/>
  <c r="P26" i="10"/>
  <c r="Q66" i="8"/>
  <c r="AA26" i="10"/>
  <c r="V26" i="10"/>
  <c r="AF26" i="10"/>
  <c r="S26" i="10"/>
  <c r="AL25" i="10"/>
  <c r="AQ26" i="10"/>
  <c r="AN25" i="10"/>
  <c r="AD25" i="10"/>
  <c r="AH25" i="10"/>
  <c r="AS26" i="10"/>
  <c r="O26" i="10"/>
  <c r="AG67" i="8"/>
  <c r="V25" i="10"/>
  <c r="AM26" i="10"/>
  <c r="O25" i="10"/>
  <c r="AB26" i="10"/>
  <c r="AP26" i="10"/>
  <c r="AE26" i="10"/>
  <c r="Q26" i="10"/>
  <c r="AJ54" i="1"/>
  <c r="AC26" i="10"/>
  <c r="AE25" i="10"/>
  <c r="S25" i="10"/>
  <c r="AG26" i="10"/>
  <c r="AL24" i="10"/>
  <c r="AL26" i="10" s="1"/>
  <c r="AK25" i="10"/>
  <c r="T67" i="8"/>
  <c r="Y26" i="10"/>
  <c r="AS25" i="10"/>
  <c r="AR25" i="10"/>
  <c r="AH26" i="10"/>
  <c r="AS67" i="8"/>
  <c r="Z29" i="14"/>
  <c r="AP29" i="14"/>
  <c r="T53" i="1"/>
  <c r="AQ29" i="14"/>
  <c r="AD28" i="14"/>
  <c r="AA54" i="1"/>
  <c r="AB53" i="1"/>
  <c r="AA29" i="14"/>
  <c r="AC66" i="8"/>
  <c r="AO29" i="14"/>
  <c r="W29" i="14"/>
  <c r="U28" i="14"/>
  <c r="AO28" i="14"/>
  <c r="P66" i="8"/>
  <c r="AJ28" i="14"/>
  <c r="W67" i="8"/>
  <c r="Z28" i="14"/>
  <c r="AG53" i="1"/>
  <c r="Y28" i="14"/>
  <c r="S67" i="8"/>
  <c r="AQ66" i="8"/>
  <c r="AE29" i="14"/>
  <c r="AT29" i="14"/>
  <c r="AJ67" i="8"/>
  <c r="U67" i="8"/>
  <c r="AH67" i="8"/>
  <c r="AM67" i="8"/>
  <c r="AL29" i="14"/>
  <c r="AL53" i="1"/>
  <c r="AM28" i="14"/>
  <c r="AL67" i="8"/>
  <c r="AT66" i="8"/>
  <c r="Z66" i="8"/>
  <c r="AL28" i="14"/>
  <c r="V29" i="14"/>
  <c r="S29" i="14"/>
  <c r="AO67" i="8"/>
  <c r="AP67" i="8"/>
  <c r="AA28" i="14"/>
  <c r="AR29" i="14"/>
  <c r="AD27" i="14"/>
  <c r="AD29" i="14" s="1"/>
  <c r="AC67" i="8"/>
  <c r="X29" i="14"/>
  <c r="V66" i="8"/>
  <c r="U29" i="14"/>
  <c r="AI67" i="8"/>
  <c r="AM27" i="14"/>
  <c r="AM29" i="14" s="1"/>
  <c r="AN29" i="14"/>
  <c r="AT67" i="8"/>
  <c r="Y27" i="14"/>
  <c r="Y29" i="14" s="1"/>
  <c r="V67" i="8"/>
  <c r="AK29" i="14"/>
  <c r="AE67" i="8"/>
  <c r="O29" i="14"/>
  <c r="AA66" i="8"/>
  <c r="AA65" i="8"/>
  <c r="AA67" i="8" s="1"/>
  <c r="AS29" i="14"/>
  <c r="AC29" i="14"/>
  <c r="R67" i="8"/>
  <c r="AR67" i="8"/>
  <c r="P54" i="1"/>
  <c r="U54" i="1"/>
  <c r="AY53" i="1"/>
  <c r="AL54" i="1"/>
  <c r="AM54" i="1"/>
  <c r="AN53" i="1"/>
  <c r="AI26" i="10"/>
  <c r="AK67" i="8"/>
  <c r="AN26" i="10"/>
  <c r="X25" i="10"/>
  <c r="R25" i="10"/>
  <c r="R26" i="10"/>
  <c r="AN67" i="8"/>
  <c r="AO26" i="10"/>
  <c r="AT53" i="1"/>
  <c r="AK54" i="1"/>
  <c r="AJ27" i="14"/>
  <c r="AJ29" i="14" s="1"/>
  <c r="AS28" i="14"/>
  <c r="Q28" i="14"/>
  <c r="AQ67" i="8"/>
  <c r="Y25" i="10"/>
  <c r="T26" i="10"/>
  <c r="P29" i="14"/>
  <c r="AB66" i="8"/>
  <c r="R29" i="14"/>
  <c r="W28" i="14"/>
  <c r="AA25" i="10"/>
  <c r="AK26" i="10"/>
  <c r="AT26" i="10"/>
  <c r="AQ28" i="14"/>
  <c r="P65" i="8"/>
  <c r="P67" i="8" s="1"/>
  <c r="R28" i="14"/>
  <c r="AR28" i="14"/>
  <c r="Y67" i="8"/>
  <c r="U25" i="10"/>
  <c r="AN28" i="14"/>
  <c r="AH29" i="14"/>
  <c r="O67" i="8"/>
  <c r="AK28" i="14"/>
  <c r="U26" i="10"/>
  <c r="Q29" i="14"/>
  <c r="AB29" i="14"/>
  <c r="AR24" i="10"/>
  <c r="AR26" i="10" s="1"/>
  <c r="AF29" i="14"/>
  <c r="R53" i="1"/>
  <c r="T54" i="1"/>
  <c r="AP54" i="1"/>
  <c r="AT52" i="1"/>
  <c r="AT54" i="1" s="1"/>
  <c r="AD54" i="1"/>
  <c r="AY52" i="1"/>
  <c r="AY54" i="1" s="1"/>
  <c r="AB67" i="8"/>
  <c r="AC25" i="10"/>
  <c r="Z26" i="10"/>
  <c r="AD26" i="10"/>
  <c r="X67" i="8"/>
  <c r="AT25" i="10"/>
  <c r="Z67" i="8"/>
  <c r="AJ26" i="10"/>
  <c r="T29" i="14"/>
  <c r="AI25" i="10"/>
  <c r="W26" i="10"/>
  <c r="X26" i="10"/>
  <c r="AH66" i="8"/>
  <c r="AG29" i="14"/>
  <c r="AF28" i="14"/>
  <c r="AI29" i="14"/>
  <c r="BL54" i="1"/>
  <c r="BJ54" i="1"/>
  <c r="AR54" i="1"/>
  <c r="AQ54" i="1"/>
  <c r="AS54" i="1"/>
  <c r="AM53" i="1"/>
  <c r="R52" i="1"/>
  <c r="R54" i="1" s="1"/>
  <c r="AN52" i="1"/>
  <c r="AN54" i="1" s="1"/>
  <c r="W54" i="1"/>
  <c r="X54" i="1"/>
  <c r="V54" i="1"/>
  <c r="AB52" i="1"/>
  <c r="AB54" i="1" s="1"/>
  <c r="Z53" i="1"/>
  <c r="Z54" i="1"/>
  <c r="AU53" i="1"/>
  <c r="S52" i="1"/>
  <c r="S54" i="1" s="1"/>
  <c r="AI53" i="1"/>
  <c r="AI54" i="1"/>
  <c r="Y52" i="1"/>
  <c r="Y54" i="1" s="1"/>
  <c r="Y53" i="1"/>
  <c r="AU54" i="1"/>
  <c r="AF52" i="1"/>
  <c r="AF54" i="1" s="1"/>
  <c r="AH53" i="1"/>
  <c r="S53" i="1"/>
  <c r="V53" i="1"/>
  <c r="AE54" i="1"/>
  <c r="BJ53" i="1"/>
  <c r="AH52" i="1"/>
  <c r="AH54" i="1" s="1"/>
  <c r="AV54" i="1"/>
  <c r="AF53" i="1"/>
  <c r="AO54" i="1"/>
  <c r="AG52" i="1"/>
  <c r="AG54" i="1" s="1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4" i="14"/>
  <c r="BM56" i="1"/>
  <c r="O56" i="1"/>
  <c r="Q46" i="1"/>
  <c r="O46" i="1"/>
  <c r="F17" i="2"/>
  <c r="F12" i="2"/>
  <c r="F24" i="2"/>
  <c r="L30" i="2"/>
  <c r="L29" i="2"/>
  <c r="L26" i="2"/>
  <c r="L25" i="2"/>
  <c r="L24" i="2"/>
  <c r="L23" i="2"/>
  <c r="L22" i="2"/>
  <c r="L21" i="2"/>
  <c r="L8" i="2"/>
  <c r="L27" i="2"/>
  <c r="M27" i="2"/>
  <c r="L28" i="2"/>
  <c r="M28" i="2"/>
  <c r="L31" i="2"/>
  <c r="M31" i="2"/>
  <c r="L32" i="2"/>
  <c r="M32" i="2"/>
  <c r="L9" i="2"/>
  <c r="M9" i="2"/>
  <c r="L33" i="2"/>
  <c r="M33" i="2"/>
  <c r="L34" i="2"/>
  <c r="M34" i="2"/>
  <c r="L35" i="2"/>
  <c r="M35" i="2"/>
  <c r="L36" i="2"/>
  <c r="M36" i="2"/>
  <c r="L10" i="2"/>
  <c r="M10" i="2"/>
  <c r="L11" i="2"/>
  <c r="M11" i="2"/>
  <c r="L12" i="2"/>
  <c r="M12" i="2"/>
  <c r="L37" i="2"/>
  <c r="M37" i="2"/>
  <c r="L13" i="2"/>
  <c r="M13" i="2"/>
  <c r="L14" i="2"/>
  <c r="M14" i="2"/>
  <c r="L15" i="2"/>
  <c r="M15" i="2"/>
  <c r="L16" i="2"/>
  <c r="M16" i="2"/>
  <c r="L17" i="2"/>
  <c r="M17" i="2"/>
  <c r="L38" i="2"/>
  <c r="M38" i="2"/>
  <c r="L39" i="2"/>
  <c r="M39" i="2"/>
  <c r="L40" i="2"/>
  <c r="M40" i="2"/>
  <c r="L41" i="2"/>
  <c r="M41" i="2"/>
  <c r="L42" i="2"/>
  <c r="M42" i="2"/>
  <c r="L43" i="2"/>
  <c r="M43" i="2"/>
  <c r="L18" i="2"/>
  <c r="M18" i="2"/>
  <c r="L44" i="2"/>
  <c r="M44" i="2"/>
  <c r="L45" i="2"/>
  <c r="M45" i="2"/>
  <c r="L46" i="2"/>
  <c r="M46" i="2"/>
  <c r="L47" i="2"/>
  <c r="M47" i="2"/>
  <c r="L48" i="2"/>
  <c r="M48" i="2"/>
  <c r="L49" i="2"/>
  <c r="M49" i="2"/>
  <c r="L50" i="2"/>
  <c r="M50" i="2"/>
  <c r="L51" i="2"/>
  <c r="M51" i="2"/>
  <c r="L52" i="2"/>
  <c r="M52" i="2"/>
  <c r="L5" i="2"/>
  <c r="M5" i="2"/>
  <c r="M19" i="2"/>
  <c r="L19" i="2"/>
  <c r="J29" i="2"/>
  <c r="N29" i="2"/>
  <c r="J30" i="2"/>
  <c r="N30" i="2"/>
  <c r="F29" i="2"/>
  <c r="G29" i="2" s="1"/>
  <c r="F30" i="2"/>
  <c r="G30" i="2" s="1"/>
  <c r="L15" i="1"/>
  <c r="L14" i="1"/>
  <c r="F14" i="1"/>
  <c r="F15" i="1"/>
  <c r="G15" i="1" s="1"/>
  <c r="J15" i="1"/>
  <c r="N15" i="1"/>
  <c r="L32" i="1"/>
  <c r="L33" i="1"/>
  <c r="L21" i="1"/>
  <c r="L11" i="1"/>
  <c r="L10" i="1"/>
  <c r="L6" i="1"/>
  <c r="L20" i="1"/>
  <c r="M20" i="1"/>
  <c r="L30" i="1"/>
  <c r="M30" i="1"/>
  <c r="L7" i="1"/>
  <c r="M7" i="1"/>
  <c r="L31" i="1"/>
  <c r="M31" i="1"/>
  <c r="L12" i="1"/>
  <c r="M12" i="1"/>
  <c r="L13" i="1"/>
  <c r="M13" i="1"/>
  <c r="L34" i="1"/>
  <c r="M34" i="1"/>
  <c r="L35" i="1"/>
  <c r="M35" i="1"/>
  <c r="L36" i="1"/>
  <c r="M36" i="1"/>
  <c r="L22" i="1"/>
  <c r="M22" i="1"/>
  <c r="L16" i="1"/>
  <c r="M16" i="1"/>
  <c r="L37" i="1"/>
  <c r="M37" i="1"/>
  <c r="L23" i="1"/>
  <c r="M23" i="1"/>
  <c r="L24" i="1"/>
  <c r="M24" i="1"/>
  <c r="L8" i="1"/>
  <c r="M8" i="1"/>
  <c r="L25" i="1"/>
  <c r="M25" i="1"/>
  <c r="L26" i="1"/>
  <c r="M26" i="1"/>
  <c r="L38" i="1"/>
  <c r="M38" i="1"/>
  <c r="L39" i="1"/>
  <c r="M39" i="1"/>
  <c r="L40" i="1"/>
  <c r="M40" i="1"/>
  <c r="L27" i="1"/>
  <c r="M27" i="1"/>
  <c r="L41" i="1"/>
  <c r="M41" i="1"/>
  <c r="L42" i="1"/>
  <c r="M42" i="1"/>
  <c r="L43" i="1"/>
  <c r="M43" i="1"/>
  <c r="L17" i="1"/>
  <c r="M17" i="1"/>
  <c r="L44" i="1"/>
  <c r="M44" i="1"/>
  <c r="L18" i="1"/>
  <c r="M18" i="1"/>
  <c r="L9" i="1"/>
  <c r="M9" i="1"/>
  <c r="L19" i="1"/>
  <c r="M19" i="1"/>
  <c r="L28" i="1"/>
  <c r="M28" i="1"/>
  <c r="L29" i="1"/>
  <c r="M29" i="1"/>
  <c r="L5" i="1"/>
  <c r="M5" i="1"/>
  <c r="J8" i="2"/>
  <c r="N8" i="2"/>
  <c r="J21" i="2"/>
  <c r="N21" i="2"/>
  <c r="J22" i="2"/>
  <c r="N22" i="2"/>
  <c r="J41" i="2"/>
  <c r="N41" i="2"/>
  <c r="J23" i="2"/>
  <c r="N23" i="2"/>
  <c r="J25" i="2"/>
  <c r="N25" i="2"/>
  <c r="F8" i="2"/>
  <c r="G8" i="2" s="1"/>
  <c r="F21" i="2"/>
  <c r="G21" i="2" s="1"/>
  <c r="F22" i="2"/>
  <c r="G22" i="2" s="1"/>
  <c r="F41" i="2"/>
  <c r="G41" i="2" s="1"/>
  <c r="F23" i="2"/>
  <c r="G23" i="2" s="1"/>
  <c r="F25" i="2"/>
  <c r="G25" i="2" s="1"/>
  <c r="BL22" i="14" l="1"/>
  <c r="BL25" i="14" s="1"/>
  <c r="K15" i="1"/>
  <c r="BN15" i="1"/>
  <c r="Q49" i="1"/>
  <c r="Q48" i="1"/>
  <c r="Q50" i="1" s="1"/>
  <c r="O49" i="1"/>
  <c r="O48" i="1"/>
  <c r="O50" i="1" s="1"/>
  <c r="H21" i="2"/>
  <c r="H23" i="2"/>
  <c r="H41" i="2"/>
  <c r="H30" i="2"/>
  <c r="K30" i="2"/>
  <c r="H29" i="2"/>
  <c r="K29" i="2"/>
  <c r="H25" i="2"/>
  <c r="K25" i="2"/>
  <c r="H8" i="2"/>
  <c r="K8" i="2"/>
  <c r="K22" i="2"/>
  <c r="H22" i="2"/>
  <c r="K41" i="2"/>
  <c r="K21" i="2"/>
  <c r="K23" i="2"/>
  <c r="H15" i="1"/>
  <c r="O52" i="1" l="1"/>
  <c r="Q51" i="1"/>
  <c r="Q53" i="1" s="1"/>
  <c r="O51" i="1"/>
  <c r="O53" i="1" s="1"/>
  <c r="Q52" i="1"/>
  <c r="N6" i="2"/>
  <c r="L6" i="2"/>
  <c r="J6" i="2"/>
  <c r="F6" i="2"/>
  <c r="G6" i="2" s="1"/>
  <c r="BN6" i="2" s="1"/>
  <c r="N24" i="2"/>
  <c r="J24" i="2"/>
  <c r="G24" i="2"/>
  <c r="N26" i="2"/>
  <c r="J26" i="2"/>
  <c r="F26" i="2"/>
  <c r="G26" i="2" s="1"/>
  <c r="N28" i="2"/>
  <c r="J28" i="2"/>
  <c r="F28" i="2"/>
  <c r="G28" i="2" s="1"/>
  <c r="N42" i="2"/>
  <c r="J42" i="2"/>
  <c r="F42" i="2"/>
  <c r="G42" i="2" s="1"/>
  <c r="N38" i="2"/>
  <c r="J38" i="2"/>
  <c r="F38" i="2"/>
  <c r="G38" i="2" s="1"/>
  <c r="N14" i="2"/>
  <c r="J14" i="2"/>
  <c r="F14" i="2"/>
  <c r="G14" i="2" s="1"/>
  <c r="N13" i="2"/>
  <c r="J13" i="2"/>
  <c r="F13" i="2"/>
  <c r="G13" i="2" s="1"/>
  <c r="N11" i="2"/>
  <c r="J11" i="2"/>
  <c r="F11" i="2"/>
  <c r="G11" i="2" s="1"/>
  <c r="N10" i="2"/>
  <c r="J10" i="2"/>
  <c r="F10" i="2"/>
  <c r="G10" i="2" s="1"/>
  <c r="BN10" i="2" s="1"/>
  <c r="N20" i="2"/>
  <c r="M20" i="2"/>
  <c r="L20" i="2"/>
  <c r="J20" i="2"/>
  <c r="F20" i="2"/>
  <c r="G20" i="2" s="1"/>
  <c r="N5" i="2"/>
  <c r="J5" i="2"/>
  <c r="F5" i="2"/>
  <c r="BN5" i="2" s="1"/>
  <c r="N52" i="2"/>
  <c r="J52" i="2"/>
  <c r="F52" i="2"/>
  <c r="G52" i="2" s="1"/>
  <c r="BN52" i="2" s="1"/>
  <c r="BO52" i="2" s="1"/>
  <c r="N47" i="2"/>
  <c r="J47" i="2"/>
  <c r="F47" i="2"/>
  <c r="G47" i="2" s="1"/>
  <c r="N45" i="2"/>
  <c r="J45" i="2"/>
  <c r="F45" i="2"/>
  <c r="G45" i="2" s="1"/>
  <c r="N18" i="2"/>
  <c r="J18" i="2"/>
  <c r="F18" i="2"/>
  <c r="G18" i="2" s="1"/>
  <c r="N39" i="2"/>
  <c r="J39" i="2"/>
  <c r="F39" i="2"/>
  <c r="G39" i="2" s="1"/>
  <c r="N9" i="2"/>
  <c r="J9" i="2"/>
  <c r="F9" i="2"/>
  <c r="G9" i="2" s="1"/>
  <c r="N31" i="2"/>
  <c r="J31" i="2"/>
  <c r="F31" i="2"/>
  <c r="G31" i="2" s="1"/>
  <c r="N49" i="2"/>
  <c r="J49" i="2"/>
  <c r="F49" i="2"/>
  <c r="G49" i="2" s="1"/>
  <c r="N48" i="2"/>
  <c r="J48" i="2"/>
  <c r="F48" i="2"/>
  <c r="G48" i="2" s="1"/>
  <c r="N43" i="2"/>
  <c r="J43" i="2"/>
  <c r="F43" i="2"/>
  <c r="G43" i="2" s="1"/>
  <c r="N40" i="2"/>
  <c r="J40" i="2"/>
  <c r="F40" i="2"/>
  <c r="G40" i="2" s="1"/>
  <c r="N17" i="2"/>
  <c r="J17" i="2"/>
  <c r="G17" i="2"/>
  <c r="N12" i="2"/>
  <c r="J12" i="2"/>
  <c r="G12" i="2"/>
  <c r="N36" i="2"/>
  <c r="J36" i="2"/>
  <c r="F36" i="2"/>
  <c r="G36" i="2" s="1"/>
  <c r="N19" i="2"/>
  <c r="J19" i="2"/>
  <c r="F19" i="2"/>
  <c r="G19" i="2" s="1"/>
  <c r="N51" i="2"/>
  <c r="J51" i="2"/>
  <c r="F51" i="2"/>
  <c r="G51" i="2" s="1"/>
  <c r="N44" i="2"/>
  <c r="J44" i="2"/>
  <c r="F44" i="2"/>
  <c r="G44" i="2" s="1"/>
  <c r="N27" i="2"/>
  <c r="J27" i="2"/>
  <c r="F27" i="2"/>
  <c r="G27" i="2" s="1"/>
  <c r="N16" i="2"/>
  <c r="J16" i="2"/>
  <c r="F16" i="2"/>
  <c r="G16" i="2" s="1"/>
  <c r="N35" i="2"/>
  <c r="J35" i="2"/>
  <c r="F35" i="2"/>
  <c r="G35" i="2" s="1"/>
  <c r="N34" i="2"/>
  <c r="J34" i="2"/>
  <c r="F34" i="2"/>
  <c r="G34" i="2" s="1"/>
  <c r="N50" i="2"/>
  <c r="J50" i="2"/>
  <c r="F50" i="2"/>
  <c r="G50" i="2" s="1"/>
  <c r="N46" i="2"/>
  <c r="J46" i="2"/>
  <c r="F46" i="2"/>
  <c r="G46" i="2" s="1"/>
  <c r="N7" i="2"/>
  <c r="M7" i="2"/>
  <c r="L7" i="2"/>
  <c r="J7" i="2"/>
  <c r="F7" i="2"/>
  <c r="G7" i="2" s="1"/>
  <c r="BN7" i="2" s="1"/>
  <c r="N15" i="2"/>
  <c r="J15" i="2"/>
  <c r="F15" i="2"/>
  <c r="G15" i="2" s="1"/>
  <c r="N37" i="2"/>
  <c r="J37" i="2"/>
  <c r="F37" i="2"/>
  <c r="G37" i="2" s="1"/>
  <c r="N33" i="2"/>
  <c r="J33" i="2"/>
  <c r="F33" i="2"/>
  <c r="G33" i="2" s="1"/>
  <c r="N32" i="2"/>
  <c r="J32" i="2"/>
  <c r="F32" i="2"/>
  <c r="G32" i="2" s="1"/>
  <c r="BN32" i="2" s="1"/>
  <c r="N16" i="10"/>
  <c r="L16" i="10"/>
  <c r="J16" i="10"/>
  <c r="F16" i="10"/>
  <c r="G16" i="10" s="1"/>
  <c r="BM16" i="10" s="1"/>
  <c r="BN16" i="10" s="1"/>
  <c r="N15" i="10"/>
  <c r="L15" i="10"/>
  <c r="J15" i="10"/>
  <c r="F15" i="10"/>
  <c r="G15" i="10" s="1"/>
  <c r="N14" i="10"/>
  <c r="M14" i="10"/>
  <c r="L14" i="10"/>
  <c r="J14" i="10"/>
  <c r="F14" i="10"/>
  <c r="G14" i="10" s="1"/>
  <c r="N12" i="10"/>
  <c r="M12" i="10"/>
  <c r="L12" i="10"/>
  <c r="J12" i="10"/>
  <c r="F12" i="10"/>
  <c r="G12" i="10" s="1"/>
  <c r="N11" i="10"/>
  <c r="M11" i="10"/>
  <c r="L11" i="10"/>
  <c r="J11" i="10"/>
  <c r="F11" i="10"/>
  <c r="G11" i="10" s="1"/>
  <c r="BM11" i="10" s="1"/>
  <c r="N10" i="10"/>
  <c r="M10" i="10"/>
  <c r="L10" i="10"/>
  <c r="J10" i="10"/>
  <c r="F10" i="10"/>
  <c r="N9" i="10"/>
  <c r="M9" i="10"/>
  <c r="L9" i="10"/>
  <c r="J9" i="10"/>
  <c r="F9" i="10"/>
  <c r="N8" i="10"/>
  <c r="M8" i="10"/>
  <c r="L8" i="10"/>
  <c r="J8" i="10"/>
  <c r="F8" i="10"/>
  <c r="G8" i="10" s="1"/>
  <c r="N7" i="10"/>
  <c r="M7" i="10"/>
  <c r="L7" i="10"/>
  <c r="J7" i="10"/>
  <c r="F7" i="10"/>
  <c r="N6" i="10"/>
  <c r="M6" i="10"/>
  <c r="L6" i="10"/>
  <c r="J6" i="10"/>
  <c r="F6" i="10"/>
  <c r="G6" i="10" s="1"/>
  <c r="N5" i="10"/>
  <c r="M5" i="10"/>
  <c r="L5" i="10"/>
  <c r="J5" i="10"/>
  <c r="F5" i="10"/>
  <c r="G5" i="10" s="1"/>
  <c r="N4" i="10"/>
  <c r="M4" i="10"/>
  <c r="L4" i="10"/>
  <c r="J4" i="10"/>
  <c r="F4" i="10"/>
  <c r="G4" i="10" s="1"/>
  <c r="BM4" i="10" s="1"/>
  <c r="N47" i="9"/>
  <c r="L47" i="9"/>
  <c r="J47" i="9"/>
  <c r="F47" i="9"/>
  <c r="BM47" i="9" s="1"/>
  <c r="BN47" i="9" s="1"/>
  <c r="N46" i="9"/>
  <c r="L46" i="9"/>
  <c r="J46" i="9"/>
  <c r="F46" i="9"/>
  <c r="BM46" i="9" s="1"/>
  <c r="BN46" i="9" s="1"/>
  <c r="N45" i="9"/>
  <c r="M45" i="9"/>
  <c r="L45" i="9"/>
  <c r="J45" i="9"/>
  <c r="F45" i="9"/>
  <c r="BM45" i="9" s="1"/>
  <c r="BN45" i="9" s="1"/>
  <c r="N44" i="9"/>
  <c r="M44" i="9"/>
  <c r="L44" i="9"/>
  <c r="J44" i="9"/>
  <c r="F44" i="9"/>
  <c r="BM44" i="9" s="1"/>
  <c r="BN44" i="9" s="1"/>
  <c r="N43" i="9"/>
  <c r="M43" i="9"/>
  <c r="L43" i="9"/>
  <c r="J43" i="9"/>
  <c r="F43" i="9"/>
  <c r="BM43" i="9" s="1"/>
  <c r="BN43" i="9" s="1"/>
  <c r="N42" i="9"/>
  <c r="M42" i="9"/>
  <c r="L42" i="9"/>
  <c r="J42" i="9"/>
  <c r="F42" i="9"/>
  <c r="BM42" i="9" s="1"/>
  <c r="BN42" i="9" s="1"/>
  <c r="N41" i="9"/>
  <c r="M41" i="9"/>
  <c r="L41" i="9"/>
  <c r="J41" i="9"/>
  <c r="F41" i="9"/>
  <c r="BM41" i="9" s="1"/>
  <c r="BN41" i="9" s="1"/>
  <c r="N40" i="9"/>
  <c r="M40" i="9"/>
  <c r="L40" i="9"/>
  <c r="J40" i="9"/>
  <c r="F40" i="9"/>
  <c r="BM40" i="9" s="1"/>
  <c r="BN40" i="9" s="1"/>
  <c r="N39" i="9"/>
  <c r="M39" i="9"/>
  <c r="L39" i="9"/>
  <c r="J39" i="9"/>
  <c r="F39" i="9"/>
  <c r="BM39" i="9" s="1"/>
  <c r="BN39" i="9" s="1"/>
  <c r="N38" i="9"/>
  <c r="M38" i="9"/>
  <c r="L38" i="9"/>
  <c r="J38" i="9"/>
  <c r="F38" i="9"/>
  <c r="BM38" i="9" s="1"/>
  <c r="BN38" i="9" s="1"/>
  <c r="N37" i="9"/>
  <c r="M37" i="9"/>
  <c r="L37" i="9"/>
  <c r="J37" i="9"/>
  <c r="F37" i="9"/>
  <c r="BM37" i="9" s="1"/>
  <c r="BN37" i="9" s="1"/>
  <c r="N36" i="9"/>
  <c r="M36" i="9"/>
  <c r="L36" i="9"/>
  <c r="J36" i="9"/>
  <c r="F36" i="9"/>
  <c r="BM36" i="9" s="1"/>
  <c r="BN36" i="9" s="1"/>
  <c r="N35" i="9"/>
  <c r="M35" i="9"/>
  <c r="L35" i="9"/>
  <c r="J35" i="9"/>
  <c r="F35" i="9"/>
  <c r="BM35" i="9" s="1"/>
  <c r="BN35" i="9" s="1"/>
  <c r="N34" i="9"/>
  <c r="M34" i="9"/>
  <c r="L34" i="9"/>
  <c r="J34" i="9"/>
  <c r="F34" i="9"/>
  <c r="BM34" i="9" s="1"/>
  <c r="BN34" i="9" s="1"/>
  <c r="N33" i="9"/>
  <c r="M33" i="9"/>
  <c r="L33" i="9"/>
  <c r="J33" i="9"/>
  <c r="F33" i="9"/>
  <c r="BM33" i="9" s="1"/>
  <c r="BN33" i="9" s="1"/>
  <c r="N32" i="9"/>
  <c r="M32" i="9"/>
  <c r="L32" i="9"/>
  <c r="J32" i="9"/>
  <c r="F32" i="9"/>
  <c r="BM32" i="9" s="1"/>
  <c r="BN32" i="9" s="1"/>
  <c r="N31" i="9"/>
  <c r="M31" i="9"/>
  <c r="L31" i="9"/>
  <c r="J31" i="9"/>
  <c r="F31" i="9"/>
  <c r="BM31" i="9" s="1"/>
  <c r="BN31" i="9" s="1"/>
  <c r="N29" i="9"/>
  <c r="M29" i="9"/>
  <c r="L29" i="9"/>
  <c r="J29" i="9"/>
  <c r="F29" i="9"/>
  <c r="BM29" i="9" s="1"/>
  <c r="BN29" i="9" s="1"/>
  <c r="N28" i="9"/>
  <c r="M28" i="9"/>
  <c r="L28" i="9"/>
  <c r="J28" i="9"/>
  <c r="F28" i="9"/>
  <c r="BM28" i="9" s="1"/>
  <c r="BN28" i="9" s="1"/>
  <c r="N27" i="9"/>
  <c r="M27" i="9"/>
  <c r="L27" i="9"/>
  <c r="J27" i="9"/>
  <c r="F27" i="9"/>
  <c r="BM27" i="9" s="1"/>
  <c r="BN27" i="9" s="1"/>
  <c r="N26" i="9"/>
  <c r="M26" i="9"/>
  <c r="L26" i="9"/>
  <c r="J26" i="9"/>
  <c r="F26" i="9"/>
  <c r="BM26" i="9" s="1"/>
  <c r="BN26" i="9" s="1"/>
  <c r="N25" i="9"/>
  <c r="M25" i="9"/>
  <c r="L25" i="9"/>
  <c r="J25" i="9"/>
  <c r="F25" i="9"/>
  <c r="BM25" i="9" s="1"/>
  <c r="BN25" i="9" s="1"/>
  <c r="N24" i="9"/>
  <c r="M24" i="9"/>
  <c r="L24" i="9"/>
  <c r="J24" i="9"/>
  <c r="F24" i="9"/>
  <c r="BM24" i="9" s="1"/>
  <c r="BN24" i="9" s="1"/>
  <c r="N23" i="9"/>
  <c r="M23" i="9"/>
  <c r="L23" i="9"/>
  <c r="J23" i="9"/>
  <c r="F23" i="9"/>
  <c r="BM23" i="9" s="1"/>
  <c r="BN23" i="9" s="1"/>
  <c r="N22" i="9"/>
  <c r="L22" i="9"/>
  <c r="J22" i="9"/>
  <c r="F22" i="9"/>
  <c r="BM22" i="9" s="1"/>
  <c r="BN22" i="9" s="1"/>
  <c r="N21" i="9"/>
  <c r="L21" i="9"/>
  <c r="J21" i="9"/>
  <c r="F21" i="9"/>
  <c r="BM21" i="9" s="1"/>
  <c r="BN21" i="9" s="1"/>
  <c r="N20" i="9"/>
  <c r="L20" i="9"/>
  <c r="J20" i="9"/>
  <c r="F20" i="9"/>
  <c r="BM20" i="9" s="1"/>
  <c r="BN20" i="9" s="1"/>
  <c r="N19" i="9"/>
  <c r="L19" i="9"/>
  <c r="J19" i="9"/>
  <c r="F19" i="9"/>
  <c r="BM19" i="9" s="1"/>
  <c r="BN19" i="9" s="1"/>
  <c r="N18" i="9"/>
  <c r="L18" i="9"/>
  <c r="J18" i="9"/>
  <c r="F18" i="9"/>
  <c r="BM18" i="9" s="1"/>
  <c r="BN18" i="9" s="1"/>
  <c r="N17" i="9"/>
  <c r="L17" i="9"/>
  <c r="J17" i="9"/>
  <c r="F17" i="9"/>
  <c r="BM17" i="9" s="1"/>
  <c r="BN17" i="9" s="1"/>
  <c r="N16" i="9"/>
  <c r="L16" i="9"/>
  <c r="J16" i="9"/>
  <c r="F16" i="9"/>
  <c r="BM16" i="9" s="1"/>
  <c r="BN16" i="9" s="1"/>
  <c r="N15" i="9"/>
  <c r="M15" i="9"/>
  <c r="L15" i="9"/>
  <c r="J15" i="9"/>
  <c r="F15" i="9"/>
  <c r="BM15" i="9" s="1"/>
  <c r="BN15" i="9" s="1"/>
  <c r="N14" i="9"/>
  <c r="M14" i="9"/>
  <c r="L14" i="9"/>
  <c r="J14" i="9"/>
  <c r="F14" i="9"/>
  <c r="BM14" i="9" s="1"/>
  <c r="BN14" i="9" s="1"/>
  <c r="N13" i="9"/>
  <c r="M13" i="9"/>
  <c r="L13" i="9"/>
  <c r="J13" i="9"/>
  <c r="F13" i="9"/>
  <c r="BM13" i="9" s="1"/>
  <c r="BN13" i="9" s="1"/>
  <c r="N12" i="9"/>
  <c r="M12" i="9"/>
  <c r="L12" i="9"/>
  <c r="J12" i="9"/>
  <c r="F12" i="9"/>
  <c r="BM12" i="9" s="1"/>
  <c r="BN12" i="9" s="1"/>
  <c r="N11" i="9"/>
  <c r="M11" i="9"/>
  <c r="L11" i="9"/>
  <c r="J11" i="9"/>
  <c r="F11" i="9"/>
  <c r="BM11" i="9" s="1"/>
  <c r="BN11" i="9" s="1"/>
  <c r="N10" i="9"/>
  <c r="M10" i="9"/>
  <c r="L10" i="9"/>
  <c r="J10" i="9"/>
  <c r="F10" i="9"/>
  <c r="BM10" i="9" s="1"/>
  <c r="BN10" i="9" s="1"/>
  <c r="N9" i="9"/>
  <c r="M9" i="9"/>
  <c r="L9" i="9"/>
  <c r="J9" i="9"/>
  <c r="F9" i="9"/>
  <c r="BM9" i="9" s="1"/>
  <c r="BN9" i="9" s="1"/>
  <c r="N8" i="9"/>
  <c r="M8" i="9"/>
  <c r="L8" i="9"/>
  <c r="J8" i="9"/>
  <c r="F8" i="9"/>
  <c r="BM8" i="9" s="1"/>
  <c r="BN8" i="9" s="1"/>
  <c r="N7" i="9"/>
  <c r="M7" i="9"/>
  <c r="L7" i="9"/>
  <c r="J7" i="9"/>
  <c r="F7" i="9"/>
  <c r="BN7" i="9" s="1"/>
  <c r="N6" i="9"/>
  <c r="M6" i="9"/>
  <c r="L6" i="9"/>
  <c r="J6" i="9"/>
  <c r="F6" i="9"/>
  <c r="N44" i="8"/>
  <c r="L44" i="8"/>
  <c r="J44" i="8"/>
  <c r="F44" i="8"/>
  <c r="G44" i="8" s="1"/>
  <c r="BL44" i="8" s="1"/>
  <c r="N43" i="8"/>
  <c r="L43" i="8"/>
  <c r="J43" i="8"/>
  <c r="F43" i="8"/>
  <c r="G43" i="8" s="1"/>
  <c r="BL43" i="8" s="1"/>
  <c r="N42" i="8"/>
  <c r="M42" i="8"/>
  <c r="L42" i="8"/>
  <c r="J42" i="8"/>
  <c r="F42" i="8"/>
  <c r="G42" i="8" s="1"/>
  <c r="BL42" i="8" s="1"/>
  <c r="N41" i="8"/>
  <c r="M41" i="8"/>
  <c r="L41" i="8"/>
  <c r="J41" i="8"/>
  <c r="F41" i="8"/>
  <c r="G41" i="8" s="1"/>
  <c r="BL41" i="8" s="1"/>
  <c r="N40" i="8"/>
  <c r="M40" i="8"/>
  <c r="L40" i="8"/>
  <c r="J40" i="8"/>
  <c r="F40" i="8"/>
  <c r="G40" i="8" s="1"/>
  <c r="BL40" i="8" s="1"/>
  <c r="N39" i="8"/>
  <c r="M39" i="8"/>
  <c r="L39" i="8"/>
  <c r="J39" i="8"/>
  <c r="F39" i="8"/>
  <c r="N38" i="8"/>
  <c r="M38" i="8"/>
  <c r="L38" i="8"/>
  <c r="J38" i="8"/>
  <c r="F38" i="8"/>
  <c r="G38" i="8" s="1"/>
  <c r="BL38" i="8" s="1"/>
  <c r="N37" i="8"/>
  <c r="M37" i="8"/>
  <c r="L37" i="8"/>
  <c r="J37" i="8"/>
  <c r="F37" i="8"/>
  <c r="G37" i="8" s="1"/>
  <c r="BL37" i="8" s="1"/>
  <c r="N36" i="8"/>
  <c r="M36" i="8"/>
  <c r="L36" i="8"/>
  <c r="J36" i="8"/>
  <c r="F36" i="8"/>
  <c r="G36" i="8" s="1"/>
  <c r="BL36" i="8" s="1"/>
  <c r="N35" i="8"/>
  <c r="M35" i="8"/>
  <c r="L35" i="8"/>
  <c r="J35" i="8"/>
  <c r="F35" i="8"/>
  <c r="G35" i="8" s="1"/>
  <c r="BL35" i="8" s="1"/>
  <c r="N34" i="8"/>
  <c r="M34" i="8"/>
  <c r="L34" i="8"/>
  <c r="J34" i="8"/>
  <c r="F34" i="8"/>
  <c r="N32" i="8"/>
  <c r="M32" i="8"/>
  <c r="L32" i="8"/>
  <c r="J32" i="8"/>
  <c r="F32" i="8"/>
  <c r="G32" i="8" s="1"/>
  <c r="BL32" i="8" s="1"/>
  <c r="N31" i="8"/>
  <c r="M31" i="8"/>
  <c r="L31" i="8"/>
  <c r="J31" i="8"/>
  <c r="F31" i="8"/>
  <c r="N30" i="8"/>
  <c r="M30" i="8"/>
  <c r="L30" i="8"/>
  <c r="J30" i="8"/>
  <c r="G30" i="8"/>
  <c r="BL30" i="8" s="1"/>
  <c r="N29" i="8"/>
  <c r="M29" i="8"/>
  <c r="L29" i="8"/>
  <c r="J29" i="8"/>
  <c r="F29" i="8"/>
  <c r="G29" i="8" s="1"/>
  <c r="BL29" i="8" s="1"/>
  <c r="N28" i="8"/>
  <c r="M28" i="8"/>
  <c r="L28" i="8"/>
  <c r="J28" i="8"/>
  <c r="F28" i="8"/>
  <c r="N27" i="8"/>
  <c r="M27" i="8"/>
  <c r="L27" i="8"/>
  <c r="J27" i="8"/>
  <c r="F27" i="8"/>
  <c r="N26" i="8"/>
  <c r="M26" i="8"/>
  <c r="L26" i="8"/>
  <c r="J26" i="8"/>
  <c r="F26" i="8"/>
  <c r="N25" i="8"/>
  <c r="M25" i="8"/>
  <c r="L25" i="8"/>
  <c r="J25" i="8"/>
  <c r="F25" i="8"/>
  <c r="G25" i="8" s="1"/>
  <c r="BL25" i="8" s="1"/>
  <c r="N24" i="8"/>
  <c r="M24" i="8"/>
  <c r="L24" i="8"/>
  <c r="J24" i="8"/>
  <c r="F24" i="8"/>
  <c r="G24" i="8" s="1"/>
  <c r="BL24" i="8" s="1"/>
  <c r="N23" i="8"/>
  <c r="M23" i="8"/>
  <c r="L23" i="8"/>
  <c r="J23" i="8"/>
  <c r="F23" i="8"/>
  <c r="G23" i="8" s="1"/>
  <c r="BL23" i="8" s="1"/>
  <c r="N22" i="8"/>
  <c r="M22" i="8"/>
  <c r="L22" i="8"/>
  <c r="J22" i="8"/>
  <c r="F22" i="8"/>
  <c r="G22" i="8" s="1"/>
  <c r="BL22" i="8" s="1"/>
  <c r="N21" i="8"/>
  <c r="M21" i="8"/>
  <c r="L21" i="8"/>
  <c r="J21" i="8"/>
  <c r="F21" i="8"/>
  <c r="N20" i="8"/>
  <c r="M20" i="8"/>
  <c r="L20" i="8"/>
  <c r="J20" i="8"/>
  <c r="F20" i="8"/>
  <c r="G20" i="8" s="1"/>
  <c r="BL20" i="8" s="1"/>
  <c r="N19" i="8"/>
  <c r="L19" i="8"/>
  <c r="J19" i="8"/>
  <c r="F19" i="8"/>
  <c r="G19" i="8" s="1"/>
  <c r="BL19" i="8" s="1"/>
  <c r="N18" i="8"/>
  <c r="L18" i="8"/>
  <c r="J18" i="8"/>
  <c r="F18" i="8"/>
  <c r="N17" i="8"/>
  <c r="L17" i="8"/>
  <c r="J17" i="8"/>
  <c r="F17" i="8"/>
  <c r="G17" i="8" s="1"/>
  <c r="BL17" i="8" s="1"/>
  <c r="N16" i="8"/>
  <c r="L16" i="8"/>
  <c r="J16" i="8"/>
  <c r="F16" i="8"/>
  <c r="G16" i="8" s="1"/>
  <c r="BL16" i="8" s="1"/>
  <c r="N15" i="8"/>
  <c r="L15" i="8"/>
  <c r="J15" i="8"/>
  <c r="F15" i="8"/>
  <c r="G15" i="8" s="1"/>
  <c r="BL15" i="8" s="1"/>
  <c r="N14" i="8"/>
  <c r="M14" i="8"/>
  <c r="L14" i="8"/>
  <c r="J14" i="8"/>
  <c r="F14" i="8"/>
  <c r="N13" i="8"/>
  <c r="M13" i="8"/>
  <c r="L13" i="8"/>
  <c r="J13" i="8"/>
  <c r="F13" i="8"/>
  <c r="G13" i="8" s="1"/>
  <c r="BL13" i="8" s="1"/>
  <c r="N12" i="8"/>
  <c r="M12" i="8"/>
  <c r="L12" i="8"/>
  <c r="J12" i="8"/>
  <c r="F12" i="8"/>
  <c r="N11" i="8"/>
  <c r="M11" i="8"/>
  <c r="L11" i="8"/>
  <c r="J11" i="8"/>
  <c r="F11" i="8"/>
  <c r="G11" i="8" s="1"/>
  <c r="BL11" i="8" s="1"/>
  <c r="N10" i="8"/>
  <c r="M10" i="8"/>
  <c r="L10" i="8"/>
  <c r="J10" i="8"/>
  <c r="F10" i="8"/>
  <c r="G10" i="8" s="1"/>
  <c r="BL10" i="8" s="1"/>
  <c r="N9" i="8"/>
  <c r="M9" i="8"/>
  <c r="L9" i="8"/>
  <c r="J9" i="8"/>
  <c r="F9" i="8"/>
  <c r="N8" i="8"/>
  <c r="M8" i="8"/>
  <c r="L8" i="8"/>
  <c r="J8" i="8"/>
  <c r="F8" i="8"/>
  <c r="G8" i="8" s="1"/>
  <c r="BL8" i="8" s="1"/>
  <c r="N7" i="8"/>
  <c r="M7" i="8"/>
  <c r="L7" i="8"/>
  <c r="J7" i="8"/>
  <c r="F7" i="8"/>
  <c r="N6" i="8"/>
  <c r="M6" i="8"/>
  <c r="L6" i="8"/>
  <c r="J6" i="8"/>
  <c r="F6" i="8"/>
  <c r="N5" i="8"/>
  <c r="M5" i="8"/>
  <c r="L5" i="8"/>
  <c r="J5" i="8"/>
  <c r="F5" i="8"/>
  <c r="N14" i="14"/>
  <c r="J14" i="14"/>
  <c r="F14" i="14"/>
  <c r="G14" i="14" s="1"/>
  <c r="BM14" i="14" s="1"/>
  <c r="BN14" i="14" s="1"/>
  <c r="N13" i="14"/>
  <c r="J13" i="14"/>
  <c r="F13" i="14"/>
  <c r="G13" i="14" s="1"/>
  <c r="BM13" i="14" s="1"/>
  <c r="BN13" i="14" s="1"/>
  <c r="N4" i="14"/>
  <c r="J4" i="14"/>
  <c r="F4" i="14"/>
  <c r="G4" i="14" s="1"/>
  <c r="BM4" i="14" s="1"/>
  <c r="BN4" i="14" s="1"/>
  <c r="N12" i="14"/>
  <c r="J12" i="14"/>
  <c r="F12" i="14"/>
  <c r="G12" i="14" s="1"/>
  <c r="BM12" i="14" s="1"/>
  <c r="BN12" i="14" s="1"/>
  <c r="N17" i="14"/>
  <c r="J17" i="14"/>
  <c r="F17" i="14"/>
  <c r="G17" i="14" s="1"/>
  <c r="BM17" i="14" s="1"/>
  <c r="BN17" i="14" s="1"/>
  <c r="N16" i="14"/>
  <c r="J16" i="14"/>
  <c r="F16" i="14"/>
  <c r="G16" i="14" s="1"/>
  <c r="BM16" i="14" s="1"/>
  <c r="BN16" i="14" s="1"/>
  <c r="N11" i="14"/>
  <c r="J11" i="14"/>
  <c r="F11" i="14"/>
  <c r="G11" i="14" s="1"/>
  <c r="BM11" i="14" s="1"/>
  <c r="BN11" i="14" s="1"/>
  <c r="N10" i="14"/>
  <c r="J10" i="14"/>
  <c r="F10" i="14"/>
  <c r="G10" i="14" s="1"/>
  <c r="BM10" i="14" s="1"/>
  <c r="BN10" i="14" s="1"/>
  <c r="N9" i="14"/>
  <c r="J9" i="14"/>
  <c r="F9" i="14"/>
  <c r="G9" i="14" s="1"/>
  <c r="BM9" i="14" s="1"/>
  <c r="BN9" i="14" s="1"/>
  <c r="N15" i="14"/>
  <c r="J15" i="14"/>
  <c r="F15" i="14"/>
  <c r="G15" i="14" s="1"/>
  <c r="BM15" i="14" s="1"/>
  <c r="BN15" i="14" s="1"/>
  <c r="N8" i="14"/>
  <c r="J8" i="14"/>
  <c r="F8" i="14"/>
  <c r="G8" i="14" s="1"/>
  <c r="BM8" i="14" s="1"/>
  <c r="BN8" i="14" s="1"/>
  <c r="N7" i="14"/>
  <c r="J7" i="14"/>
  <c r="F7" i="14"/>
  <c r="G7" i="14" s="1"/>
  <c r="BM7" i="14" s="1"/>
  <c r="BN7" i="14" s="1"/>
  <c r="N6" i="14"/>
  <c r="J6" i="14"/>
  <c r="F6" i="14"/>
  <c r="G6" i="14" s="1"/>
  <c r="BM6" i="14" s="1"/>
  <c r="BN6" i="14" s="1"/>
  <c r="N5" i="14"/>
  <c r="J5" i="14"/>
  <c r="F5" i="14"/>
  <c r="G5" i="14" s="1"/>
  <c r="BM5" i="14" s="1"/>
  <c r="BN5" i="14" s="1"/>
  <c r="F40" i="1"/>
  <c r="J14" i="1"/>
  <c r="N14" i="1"/>
  <c r="J31" i="1"/>
  <c r="N31" i="1"/>
  <c r="G5" i="8" l="1"/>
  <c r="H5" i="8" s="1"/>
  <c r="BM8" i="10"/>
  <c r="BN8" i="10" s="1"/>
  <c r="BM12" i="10"/>
  <c r="BN12" i="10" s="1"/>
  <c r="BM5" i="10"/>
  <c r="BN5" i="10" s="1"/>
  <c r="BM14" i="10"/>
  <c r="BN14" i="10" s="1"/>
  <c r="BM6" i="10"/>
  <c r="BN6" i="10" s="1"/>
  <c r="BM15" i="10"/>
  <c r="BN15" i="10" s="1"/>
  <c r="G14" i="8"/>
  <c r="G27" i="8"/>
  <c r="G31" i="8"/>
  <c r="BL31" i="8" s="1"/>
  <c r="G9" i="10"/>
  <c r="BM9" i="10" s="1"/>
  <c r="BN9" i="10" s="1"/>
  <c r="G9" i="8"/>
  <c r="BL9" i="8" s="1"/>
  <c r="G26" i="8"/>
  <c r="G39" i="8"/>
  <c r="BL39" i="8" s="1"/>
  <c r="G7" i="8"/>
  <c r="BL7" i="8" s="1"/>
  <c r="G18" i="8"/>
  <c r="BL18" i="8" s="1"/>
  <c r="G28" i="8"/>
  <c r="G10" i="10"/>
  <c r="BM10" i="10" s="1"/>
  <c r="BN10" i="10" s="1"/>
  <c r="G6" i="8"/>
  <c r="G12" i="8"/>
  <c r="G21" i="8"/>
  <c r="BL21" i="8" s="1"/>
  <c r="G34" i="8"/>
  <c r="BL34" i="8" s="1"/>
  <c r="G7" i="10"/>
  <c r="BM7" i="10" s="1"/>
  <c r="BN11" i="10"/>
  <c r="H10" i="10"/>
  <c r="BN20" i="2"/>
  <c r="BO20" i="2" s="1"/>
  <c r="BN50" i="2"/>
  <c r="BO50" i="2" s="1"/>
  <c r="BN9" i="2"/>
  <c r="BO9" i="2" s="1"/>
  <c r="BN18" i="2"/>
  <c r="BO18" i="2" s="1"/>
  <c r="BN11" i="2"/>
  <c r="BO11" i="2" s="1"/>
  <c r="BN31" i="2"/>
  <c r="BO31" i="2" s="1"/>
  <c r="BN17" i="2"/>
  <c r="BO17" i="2" s="1"/>
  <c r="BN51" i="2"/>
  <c r="BO51" i="2" s="1"/>
  <c r="BN49" i="2"/>
  <c r="BO49" i="2" s="1"/>
  <c r="BN35" i="2"/>
  <c r="BO35" i="2" s="1"/>
  <c r="BO32" i="2"/>
  <c r="BN37" i="2"/>
  <c r="BO37" i="2" s="1"/>
  <c r="BN33" i="2"/>
  <c r="BO33" i="2" s="1"/>
  <c r="BN26" i="2"/>
  <c r="BO26" i="2" s="1"/>
  <c r="BN42" i="2"/>
  <c r="BO42" i="2" s="1"/>
  <c r="BO10" i="2"/>
  <c r="BN27" i="2"/>
  <c r="BO27" i="2" s="1"/>
  <c r="BN40" i="2"/>
  <c r="BO40" i="2" s="1"/>
  <c r="BN34" i="2"/>
  <c r="BO34" i="2" s="1"/>
  <c r="BN16" i="2"/>
  <c r="BO16" i="2" s="1"/>
  <c r="BN43" i="2"/>
  <c r="BO43" i="2" s="1"/>
  <c r="BN24" i="2"/>
  <c r="BO24" i="2" s="1"/>
  <c r="BN47" i="2"/>
  <c r="BO47" i="2" s="1"/>
  <c r="BO7" i="2"/>
  <c r="BN25" i="2"/>
  <c r="BO25" i="2" s="1"/>
  <c r="BN15" i="2"/>
  <c r="BO15" i="2" s="1"/>
  <c r="BN39" i="2"/>
  <c r="BO39" i="2" s="1"/>
  <c r="BN28" i="2"/>
  <c r="BO28" i="2" s="1"/>
  <c r="BN44" i="2"/>
  <c r="BO44" i="2" s="1"/>
  <c r="BN22" i="2"/>
  <c r="BO22" i="2" s="1"/>
  <c r="BN41" i="2"/>
  <c r="BO41" i="2" s="1"/>
  <c r="BN12" i="2"/>
  <c r="BO12" i="2" s="1"/>
  <c r="BN48" i="2"/>
  <c r="BO48" i="2" s="1"/>
  <c r="BN36" i="2"/>
  <c r="BO36" i="2" s="1"/>
  <c r="BN23" i="2"/>
  <c r="BO23" i="2" s="1"/>
  <c r="BN38" i="2"/>
  <c r="BO38" i="2" s="1"/>
  <c r="BN29" i="2"/>
  <c r="BO29" i="2" s="1"/>
  <c r="BN13" i="2"/>
  <c r="BO13" i="2" s="1"/>
  <c r="BN46" i="2"/>
  <c r="BO46" i="2" s="1"/>
  <c r="BN8" i="2"/>
  <c r="BO8" i="2" s="1"/>
  <c r="BN14" i="2"/>
  <c r="BO14" i="2" s="1"/>
  <c r="BN45" i="2"/>
  <c r="BO45" i="2" s="1"/>
  <c r="BN21" i="2"/>
  <c r="BO21" i="2" s="1"/>
  <c r="BO6" i="2"/>
  <c r="BN30" i="2"/>
  <c r="BO30" i="2" s="1"/>
  <c r="BN19" i="2"/>
  <c r="BO19" i="2" s="1"/>
  <c r="BN6" i="9"/>
  <c r="BM52" i="9"/>
  <c r="BN4" i="10"/>
  <c r="BL53" i="9"/>
  <c r="BL56" i="9" s="1"/>
  <c r="BL19" i="10"/>
  <c r="BM21" i="14"/>
  <c r="BM56" i="2"/>
  <c r="BM59" i="2" s="1"/>
  <c r="O54" i="1"/>
  <c r="Q54" i="1"/>
  <c r="Y38" i="11"/>
  <c r="AG38" i="11"/>
  <c r="AO38" i="11"/>
  <c r="AW38" i="11"/>
  <c r="AE39" i="11"/>
  <c r="AE42" i="11" s="1"/>
  <c r="AE45" i="11" s="1"/>
  <c r="AE87" i="11" s="1"/>
  <c r="AE89" i="11" s="1"/>
  <c r="AM39" i="11"/>
  <c r="AM42" i="11" s="1"/>
  <c r="AM45" i="11" s="1"/>
  <c r="AM87" i="11" s="1"/>
  <c r="AM89" i="11" s="1"/>
  <c r="AU39" i="11"/>
  <c r="AU42" i="11" s="1"/>
  <c r="AU45" i="11" s="1"/>
  <c r="AU87" i="11" s="1"/>
  <c r="AU89" i="11" s="1"/>
  <c r="AC40" i="11"/>
  <c r="AK40" i="11"/>
  <c r="AS40" i="11"/>
  <c r="AA41" i="11"/>
  <c r="AI41" i="11"/>
  <c r="AQ41" i="11"/>
  <c r="AA38" i="11"/>
  <c r="Y39" i="11"/>
  <c r="Y42" i="11" s="1"/>
  <c r="Y45" i="11" s="1"/>
  <c r="Y87" i="11" s="1"/>
  <c r="Y89" i="11" s="1"/>
  <c r="AO39" i="11"/>
  <c r="AO42" i="11" s="1"/>
  <c r="AO45" i="11" s="1"/>
  <c r="AO87" i="11" s="1"/>
  <c r="AO89" i="11" s="1"/>
  <c r="AE40" i="11"/>
  <c r="AU40" i="11"/>
  <c r="AS41" i="11"/>
  <c r="AK38" i="11"/>
  <c r="AQ39" i="11"/>
  <c r="AQ42" i="11" s="1"/>
  <c r="AQ45" i="11" s="1"/>
  <c r="AQ87" i="11" s="1"/>
  <c r="AQ89" i="11" s="1"/>
  <c r="AO40" i="11"/>
  <c r="AU41" i="11"/>
  <c r="AB39" i="11"/>
  <c r="AB42" i="11" s="1"/>
  <c r="AB45" i="11" s="1"/>
  <c r="AB87" i="11" s="1"/>
  <c r="AB89" i="11" s="1"/>
  <c r="Z40" i="11"/>
  <c r="AX40" i="11"/>
  <c r="AV38" i="11"/>
  <c r="AB40" i="11"/>
  <c r="AH41" i="11"/>
  <c r="Z38" i="11"/>
  <c r="AH38" i="11"/>
  <c r="AP38" i="11"/>
  <c r="AX38" i="11"/>
  <c r="AF39" i="11"/>
  <c r="AF42" i="11" s="1"/>
  <c r="AF45" i="11" s="1"/>
  <c r="AF87" i="11" s="1"/>
  <c r="AF89" i="11" s="1"/>
  <c r="AN39" i="11"/>
  <c r="AN42" i="11" s="1"/>
  <c r="AN45" i="11" s="1"/>
  <c r="AN87" i="11" s="1"/>
  <c r="AN89" i="11" s="1"/>
  <c r="AV39" i="11"/>
  <c r="AV42" i="11" s="1"/>
  <c r="AV45" i="11" s="1"/>
  <c r="AV87" i="11" s="1"/>
  <c r="AV89" i="11" s="1"/>
  <c r="AD40" i="11"/>
  <c r="AL40" i="11"/>
  <c r="AT40" i="11"/>
  <c r="AB41" i="11"/>
  <c r="AJ41" i="11"/>
  <c r="AR41" i="11"/>
  <c r="AI38" i="11"/>
  <c r="AQ38" i="11"/>
  <c r="AG39" i="11"/>
  <c r="AG42" i="11" s="1"/>
  <c r="AG45" i="11" s="1"/>
  <c r="AG87" i="11" s="1"/>
  <c r="AG89" i="11" s="1"/>
  <c r="AW39" i="11"/>
  <c r="AW42" i="11" s="1"/>
  <c r="AW45" i="11" s="1"/>
  <c r="AW87" i="11" s="1"/>
  <c r="AW89" i="11" s="1"/>
  <c r="AM40" i="11"/>
  <c r="AC41" i="11"/>
  <c r="AK41" i="11"/>
  <c r="AC38" i="11"/>
  <c r="AA39" i="11"/>
  <c r="AA42" i="11" s="1"/>
  <c r="AA45" i="11" s="1"/>
  <c r="AA87" i="11" s="1"/>
  <c r="AA89" i="11" s="1"/>
  <c r="Y40" i="11"/>
  <c r="AE41" i="11"/>
  <c r="AD38" i="11"/>
  <c r="AT38" i="11"/>
  <c r="AR39" i="11"/>
  <c r="AR42" i="11" s="1"/>
  <c r="AR45" i="11" s="1"/>
  <c r="AR87" i="11" s="1"/>
  <c r="AR89" i="11" s="1"/>
  <c r="AP40" i="11"/>
  <c r="AF41" i="11"/>
  <c r="AV41" i="11"/>
  <c r="AN38" i="11"/>
  <c r="AT39" i="11"/>
  <c r="AT42" i="11" s="1"/>
  <c r="AT45" i="11" s="1"/>
  <c r="AT87" i="11" s="1"/>
  <c r="AT89" i="11" s="1"/>
  <c r="AR40" i="11"/>
  <c r="AX41" i="11"/>
  <c r="AB38" i="11"/>
  <c r="AJ38" i="11"/>
  <c r="AR38" i="11"/>
  <c r="Z39" i="11"/>
  <c r="Z42" i="11" s="1"/>
  <c r="Z45" i="11" s="1"/>
  <c r="Z87" i="11" s="1"/>
  <c r="Z89" i="11" s="1"/>
  <c r="AH39" i="11"/>
  <c r="AH42" i="11" s="1"/>
  <c r="AH45" i="11" s="1"/>
  <c r="AH87" i="11" s="1"/>
  <c r="AH89" i="11" s="1"/>
  <c r="AP39" i="11"/>
  <c r="AP42" i="11" s="1"/>
  <c r="AP45" i="11" s="1"/>
  <c r="AP87" i="11" s="1"/>
  <c r="AP89" i="11" s="1"/>
  <c r="AX39" i="11"/>
  <c r="AX42" i="11" s="1"/>
  <c r="AX45" i="11" s="1"/>
  <c r="AX87" i="11" s="1"/>
  <c r="AX89" i="11" s="1"/>
  <c r="AF40" i="11"/>
  <c r="AN40" i="11"/>
  <c r="AV40" i="11"/>
  <c r="AD41" i="11"/>
  <c r="AL41" i="11"/>
  <c r="AT41" i="11"/>
  <c r="AI39" i="11"/>
  <c r="AI42" i="11" s="1"/>
  <c r="AI45" i="11" s="1"/>
  <c r="AI87" i="11" s="1"/>
  <c r="AI89" i="11" s="1"/>
  <c r="AW40" i="11"/>
  <c r="AS38" i="11"/>
  <c r="AG40" i="11"/>
  <c r="AM41" i="11"/>
  <c r="AL38" i="11"/>
  <c r="AJ39" i="11"/>
  <c r="AJ42" i="11" s="1"/>
  <c r="AJ45" i="11" s="1"/>
  <c r="AJ87" i="11" s="1"/>
  <c r="AJ89" i="11" s="1"/>
  <c r="AH40" i="11"/>
  <c r="AN41" i="11"/>
  <c r="AD39" i="11"/>
  <c r="AD42" i="11" s="1"/>
  <c r="AD45" i="11" s="1"/>
  <c r="AD87" i="11" s="1"/>
  <c r="AD89" i="11" s="1"/>
  <c r="AJ40" i="11"/>
  <c r="AP41" i="11"/>
  <c r="AE38" i="11"/>
  <c r="AM38" i="11"/>
  <c r="AU38" i="11"/>
  <c r="AC39" i="11"/>
  <c r="AC42" i="11" s="1"/>
  <c r="AC45" i="11" s="1"/>
  <c r="AC87" i="11" s="1"/>
  <c r="AC89" i="11" s="1"/>
  <c r="AK39" i="11"/>
  <c r="AK42" i="11" s="1"/>
  <c r="AK45" i="11" s="1"/>
  <c r="AK87" i="11" s="1"/>
  <c r="AK89" i="11" s="1"/>
  <c r="AS39" i="11"/>
  <c r="AS42" i="11" s="1"/>
  <c r="AS45" i="11" s="1"/>
  <c r="AS87" i="11" s="1"/>
  <c r="AS89" i="11" s="1"/>
  <c r="AA40" i="11"/>
  <c r="AI40" i="11"/>
  <c r="AQ40" i="11"/>
  <c r="Y41" i="11"/>
  <c r="AG41" i="11"/>
  <c r="AO41" i="11"/>
  <c r="AW41" i="11"/>
  <c r="AF38" i="11"/>
  <c r="AL39" i="11"/>
  <c r="AL42" i="11" s="1"/>
  <c r="AL45" i="11" s="1"/>
  <c r="AL87" i="11" s="1"/>
  <c r="AL89" i="11" s="1"/>
  <c r="Z41" i="11"/>
  <c r="S53" i="9"/>
  <c r="W53" i="9"/>
  <c r="AA53" i="9"/>
  <c r="AD53" i="9"/>
  <c r="AH53" i="9"/>
  <c r="AL53" i="9"/>
  <c r="AO53" i="9"/>
  <c r="AS53" i="9"/>
  <c r="X53" i="9"/>
  <c r="AC53" i="9"/>
  <c r="AG53" i="9"/>
  <c r="AM53" i="9"/>
  <c r="AQ53" i="9"/>
  <c r="U53" i="9"/>
  <c r="AJ53" i="9"/>
  <c r="AT53" i="9"/>
  <c r="T53" i="9"/>
  <c r="Y53" i="9"/>
  <c r="AI53" i="9"/>
  <c r="AN53" i="9"/>
  <c r="AR53" i="9"/>
  <c r="Z53" i="9"/>
  <c r="AE53" i="9"/>
  <c r="V53" i="9"/>
  <c r="AP53" i="9"/>
  <c r="AF53" i="9"/>
  <c r="AK53" i="9"/>
  <c r="P53" i="9"/>
  <c r="AB53" i="9"/>
  <c r="R53" i="9"/>
  <c r="V56" i="2"/>
  <c r="Z56" i="2"/>
  <c r="AG56" i="2"/>
  <c r="AL56" i="2"/>
  <c r="AS56" i="2"/>
  <c r="S56" i="2"/>
  <c r="W56" i="2"/>
  <c r="AA56" i="2"/>
  <c r="AD56" i="2"/>
  <c r="AH56" i="2"/>
  <c r="AM56" i="2"/>
  <c r="AP56" i="2"/>
  <c r="AT56" i="2"/>
  <c r="T56" i="2"/>
  <c r="AB56" i="2"/>
  <c r="AJ56" i="2"/>
  <c r="AQ56" i="2"/>
  <c r="U56" i="2"/>
  <c r="AC56" i="2"/>
  <c r="AK56" i="2"/>
  <c r="AR56" i="2"/>
  <c r="AE56" i="2"/>
  <c r="AU56" i="2"/>
  <c r="X56" i="2"/>
  <c r="P56" i="2"/>
  <c r="AF56" i="2"/>
  <c r="AN56" i="2"/>
  <c r="AO56" i="2"/>
  <c r="R56" i="2"/>
  <c r="Y56" i="2"/>
  <c r="H12" i="10"/>
  <c r="Q53" i="9"/>
  <c r="O53" i="9"/>
  <c r="K20" i="9"/>
  <c r="H40" i="9"/>
  <c r="K9" i="9"/>
  <c r="K13" i="9"/>
  <c r="K6" i="9"/>
  <c r="K10" i="9"/>
  <c r="K14" i="9"/>
  <c r="K47" i="9"/>
  <c r="K23" i="8"/>
  <c r="K31" i="8"/>
  <c r="K36" i="8"/>
  <c r="H20" i="8"/>
  <c r="H24" i="8"/>
  <c r="H41" i="8"/>
  <c r="H8" i="8"/>
  <c r="K40" i="8"/>
  <c r="H37" i="8"/>
  <c r="K8" i="14"/>
  <c r="H11" i="14"/>
  <c r="K15" i="2"/>
  <c r="K35" i="2"/>
  <c r="K14" i="2"/>
  <c r="Q56" i="2"/>
  <c r="K34" i="2"/>
  <c r="K32" i="2"/>
  <c r="K7" i="2"/>
  <c r="K36" i="2"/>
  <c r="K6" i="2"/>
  <c r="H32" i="9"/>
  <c r="K32" i="9"/>
  <c r="H4" i="10"/>
  <c r="K4" i="10"/>
  <c r="K45" i="9"/>
  <c r="H45" i="9"/>
  <c r="H44" i="9"/>
  <c r="K44" i="9"/>
  <c r="K34" i="8"/>
  <c r="H34" i="8"/>
  <c r="K37" i="9"/>
  <c r="H37" i="9"/>
  <c r="H16" i="10"/>
  <c r="K16" i="10"/>
  <c r="H8" i="10"/>
  <c r="K8" i="10"/>
  <c r="H23" i="9"/>
  <c r="K23" i="9"/>
  <c r="H27" i="9"/>
  <c r="K27" i="9"/>
  <c r="H32" i="8"/>
  <c r="K32" i="8"/>
  <c r="K11" i="9"/>
  <c r="H11" i="9"/>
  <c r="K22" i="9"/>
  <c r="H22" i="9"/>
  <c r="H36" i="9"/>
  <c r="K36" i="9"/>
  <c r="H16" i="8"/>
  <c r="K16" i="8"/>
  <c r="K24" i="9"/>
  <c r="H24" i="9"/>
  <c r="K28" i="9"/>
  <c r="H28" i="9"/>
  <c r="H25" i="8"/>
  <c r="K29" i="8"/>
  <c r="H42" i="8"/>
  <c r="K7" i="9"/>
  <c r="H15" i="9"/>
  <c r="K17" i="9"/>
  <c r="K33" i="9"/>
  <c r="H41" i="9"/>
  <c r="G21" i="14"/>
  <c r="K25" i="8"/>
  <c r="H38" i="8"/>
  <c r="K42" i="8"/>
  <c r="K15" i="9"/>
  <c r="K41" i="9"/>
  <c r="K20" i="8"/>
  <c r="K37" i="8"/>
  <c r="K12" i="10"/>
  <c r="K41" i="8"/>
  <c r="K40" i="9"/>
  <c r="K38" i="8"/>
  <c r="K24" i="8"/>
  <c r="H29" i="8"/>
  <c r="H7" i="9"/>
  <c r="H17" i="9"/>
  <c r="H33" i="9"/>
  <c r="H4" i="14"/>
  <c r="H26" i="2"/>
  <c r="K27" i="2"/>
  <c r="H27" i="2"/>
  <c r="H44" i="2"/>
  <c r="K44" i="2"/>
  <c r="K45" i="2"/>
  <c r="H45" i="2"/>
  <c r="K26" i="2"/>
  <c r="K20" i="2"/>
  <c r="H20" i="2"/>
  <c r="K31" i="2"/>
  <c r="H31" i="2"/>
  <c r="K37" i="2"/>
  <c r="H37" i="2"/>
  <c r="K50" i="2"/>
  <c r="H50" i="2"/>
  <c r="K43" i="2"/>
  <c r="H14" i="2"/>
  <c r="H43" i="2"/>
  <c r="K48" i="2"/>
  <c r="H48" i="2"/>
  <c r="H28" i="2"/>
  <c r="K28" i="2"/>
  <c r="K16" i="2"/>
  <c r="H16" i="2"/>
  <c r="H40" i="2"/>
  <c r="K40" i="2"/>
  <c r="K42" i="2"/>
  <c r="H42" i="2"/>
  <c r="K46" i="2"/>
  <c r="H46" i="2"/>
  <c r="K9" i="2"/>
  <c r="H9" i="2"/>
  <c r="K39" i="2"/>
  <c r="H39" i="2"/>
  <c r="H5" i="2"/>
  <c r="K5" i="2"/>
  <c r="K19" i="2"/>
  <c r="H19" i="2"/>
  <c r="K17" i="2"/>
  <c r="H17" i="2"/>
  <c r="K52" i="2"/>
  <c r="H52" i="2"/>
  <c r="K38" i="2"/>
  <c r="H38" i="2"/>
  <c r="H13" i="2"/>
  <c r="K13" i="2"/>
  <c r="K10" i="2"/>
  <c r="H10" i="2"/>
  <c r="K33" i="2"/>
  <c r="H33" i="2"/>
  <c r="K49" i="2"/>
  <c r="H49" i="2"/>
  <c r="K47" i="2"/>
  <c r="H47" i="2"/>
  <c r="K12" i="2"/>
  <c r="H12" i="2"/>
  <c r="H18" i="2"/>
  <c r="K18" i="2"/>
  <c r="K11" i="2"/>
  <c r="H11" i="2"/>
  <c r="K24" i="2"/>
  <c r="H24" i="2"/>
  <c r="H15" i="2"/>
  <c r="H34" i="2"/>
  <c r="H51" i="2"/>
  <c r="G55" i="2"/>
  <c r="H32" i="2"/>
  <c r="H7" i="2"/>
  <c r="H35" i="2"/>
  <c r="K51" i="2"/>
  <c r="H36" i="2"/>
  <c r="H6" i="2"/>
  <c r="K9" i="10"/>
  <c r="H9" i="10"/>
  <c r="H15" i="10"/>
  <c r="K15" i="10"/>
  <c r="H6" i="10"/>
  <c r="K6" i="10"/>
  <c r="K14" i="10"/>
  <c r="H14" i="10"/>
  <c r="K5" i="10"/>
  <c r="H5" i="10"/>
  <c r="H11" i="10"/>
  <c r="K11" i="10"/>
  <c r="K25" i="9"/>
  <c r="H25" i="9"/>
  <c r="K46" i="9"/>
  <c r="H46" i="9"/>
  <c r="K43" i="9"/>
  <c r="H43" i="9"/>
  <c r="K31" i="9"/>
  <c r="H31" i="9"/>
  <c r="H8" i="9"/>
  <c r="K8" i="9"/>
  <c r="K21" i="9"/>
  <c r="H21" i="9"/>
  <c r="K34" i="9"/>
  <c r="H34" i="9"/>
  <c r="H16" i="9"/>
  <c r="K16" i="9"/>
  <c r="K42" i="9"/>
  <c r="H42" i="9"/>
  <c r="K35" i="9"/>
  <c r="H35" i="9"/>
  <c r="K39" i="9"/>
  <c r="H39" i="9"/>
  <c r="K26" i="9"/>
  <c r="H26" i="9"/>
  <c r="K29" i="9"/>
  <c r="H29" i="9"/>
  <c r="H12" i="9"/>
  <c r="K12" i="9"/>
  <c r="K19" i="9"/>
  <c r="H19" i="9"/>
  <c r="K38" i="9"/>
  <c r="H38" i="9"/>
  <c r="H9" i="9"/>
  <c r="H13" i="9"/>
  <c r="H18" i="9"/>
  <c r="G52" i="9"/>
  <c r="H6" i="9"/>
  <c r="H10" i="9"/>
  <c r="H14" i="9"/>
  <c r="K18" i="9"/>
  <c r="H20" i="9"/>
  <c r="H47" i="9"/>
  <c r="H11" i="8"/>
  <c r="K11" i="8"/>
  <c r="K43" i="8"/>
  <c r="H43" i="8"/>
  <c r="H7" i="8"/>
  <c r="K7" i="8"/>
  <c r="H15" i="8"/>
  <c r="K15" i="8"/>
  <c r="K10" i="8"/>
  <c r="H10" i="8"/>
  <c r="K22" i="8"/>
  <c r="H22" i="8"/>
  <c r="K5" i="8"/>
  <c r="K19" i="8"/>
  <c r="H19" i="8"/>
  <c r="K35" i="8"/>
  <c r="H35" i="8"/>
  <c r="K44" i="8"/>
  <c r="H44" i="8"/>
  <c r="K13" i="8"/>
  <c r="H13" i="8"/>
  <c r="K30" i="8"/>
  <c r="H30" i="8"/>
  <c r="H17" i="8"/>
  <c r="K8" i="8"/>
  <c r="K17" i="8"/>
  <c r="H23" i="8"/>
  <c r="H31" i="8"/>
  <c r="H36" i="8"/>
  <c r="H40" i="8"/>
  <c r="H10" i="14"/>
  <c r="K10" i="14"/>
  <c r="K9" i="14"/>
  <c r="H9" i="14"/>
  <c r="K5" i="14"/>
  <c r="H5" i="14"/>
  <c r="K17" i="14"/>
  <c r="H17" i="14"/>
  <c r="K14" i="14"/>
  <c r="H14" i="14"/>
  <c r="K6" i="14"/>
  <c r="H6" i="14"/>
  <c r="H12" i="14"/>
  <c r="K12" i="14"/>
  <c r="K15" i="14"/>
  <c r="H15" i="14"/>
  <c r="K16" i="14"/>
  <c r="H16" i="14"/>
  <c r="H7" i="14"/>
  <c r="K7" i="14"/>
  <c r="K4" i="14"/>
  <c r="K13" i="14"/>
  <c r="K11" i="14"/>
  <c r="H8" i="14"/>
  <c r="H13" i="14"/>
  <c r="BL5" i="8" l="1"/>
  <c r="H28" i="8"/>
  <c r="BL28" i="8"/>
  <c r="BM28" i="8" s="1"/>
  <c r="K27" i="8"/>
  <c r="BL27" i="8"/>
  <c r="BM27" i="8" s="1"/>
  <c r="H12" i="8"/>
  <c r="BL12" i="8"/>
  <c r="H14" i="8"/>
  <c r="BL14" i="8"/>
  <c r="H26" i="8"/>
  <c r="BL26" i="8"/>
  <c r="BM26" i="8" s="1"/>
  <c r="K6" i="8"/>
  <c r="BL6" i="8"/>
  <c r="BM6" i="8" s="1"/>
  <c r="BM30" i="8"/>
  <c r="BM22" i="8"/>
  <c r="BM11" i="8"/>
  <c r="BM38" i="8"/>
  <c r="BM37" i="8"/>
  <c r="BM42" i="8"/>
  <c r="BM16" i="8"/>
  <c r="BM32" i="8"/>
  <c r="BM44" i="8"/>
  <c r="BM43" i="8"/>
  <c r="BM8" i="8"/>
  <c r="BM13" i="8"/>
  <c r="BM35" i="8"/>
  <c r="BM10" i="8"/>
  <c r="BM20" i="8"/>
  <c r="BM23" i="8"/>
  <c r="BM17" i="8"/>
  <c r="BM19" i="8"/>
  <c r="BM24" i="8"/>
  <c r="BM36" i="8"/>
  <c r="BM15" i="8"/>
  <c r="BM41" i="8"/>
  <c r="BM25" i="8"/>
  <c r="BM29" i="8"/>
  <c r="BM40" i="8"/>
  <c r="K26" i="8"/>
  <c r="K28" i="8"/>
  <c r="K12" i="8"/>
  <c r="BM7" i="8"/>
  <c r="BM34" i="8"/>
  <c r="BM31" i="8"/>
  <c r="K14" i="8"/>
  <c r="K18" i="8"/>
  <c r="H9" i="8"/>
  <c r="G18" i="10"/>
  <c r="K9" i="8"/>
  <c r="H18" i="8"/>
  <c r="H39" i="8"/>
  <c r="H21" i="8"/>
  <c r="G59" i="8"/>
  <c r="BL59" i="8" s="1"/>
  <c r="K39" i="8"/>
  <c r="BN7" i="10"/>
  <c r="BM18" i="10"/>
  <c r="H6" i="8"/>
  <c r="K7" i="10"/>
  <c r="H7" i="10"/>
  <c r="BL20" i="10" s="1"/>
  <c r="BL22" i="10" s="1"/>
  <c r="K21" i="8"/>
  <c r="H27" i="8"/>
  <c r="BN55" i="2"/>
  <c r="BO5" i="2"/>
  <c r="BL23" i="14"/>
  <c r="BL54" i="9"/>
  <c r="BM57" i="2"/>
  <c r="AK58" i="2"/>
  <c r="AF58" i="2"/>
  <c r="AC58" i="2"/>
  <c r="AO58" i="2"/>
  <c r="R58" i="2"/>
  <c r="AL58" i="2"/>
  <c r="P58" i="2"/>
  <c r="AE58" i="2"/>
  <c r="X58" i="2"/>
  <c r="Z58" i="2"/>
  <c r="AJ58" i="2"/>
  <c r="U57" i="2"/>
  <c r="U59" i="2" s="1"/>
  <c r="U60" i="2" s="1"/>
  <c r="Y57" i="2"/>
  <c r="Y59" i="2" s="1"/>
  <c r="Y60" i="2" s="1"/>
  <c r="AC57" i="2"/>
  <c r="AF57" i="2"/>
  <c r="AK57" i="2"/>
  <c r="AO57" i="2"/>
  <c r="AR57" i="2"/>
  <c r="AR59" i="2" s="1"/>
  <c r="AR60" i="2" s="1"/>
  <c r="V57" i="2"/>
  <c r="V59" i="2" s="1"/>
  <c r="V60" i="2" s="1"/>
  <c r="Z57" i="2"/>
  <c r="AG57" i="2"/>
  <c r="AG59" i="2" s="1"/>
  <c r="AG60" i="2" s="1"/>
  <c r="AL57" i="2"/>
  <c r="AS57" i="2"/>
  <c r="AS59" i="2" s="1"/>
  <c r="AS60" i="2" s="1"/>
  <c r="P57" i="2"/>
  <c r="W57" i="2"/>
  <c r="W59" i="2" s="1"/>
  <c r="W60" i="2" s="1"/>
  <c r="AD57" i="2"/>
  <c r="AD59" i="2" s="1"/>
  <c r="AD60" i="2" s="1"/>
  <c r="AM57" i="2"/>
  <c r="AM59" i="2" s="1"/>
  <c r="AM60" i="2" s="1"/>
  <c r="AT57" i="2"/>
  <c r="AT59" i="2" s="1"/>
  <c r="AT60" i="2" s="1"/>
  <c r="X57" i="2"/>
  <c r="AE57" i="2"/>
  <c r="AN57" i="2"/>
  <c r="AN59" i="2" s="1"/>
  <c r="AN60" i="2" s="1"/>
  <c r="AU57" i="2"/>
  <c r="AU59" i="2" s="1"/>
  <c r="AU60" i="2" s="1"/>
  <c r="S57" i="2"/>
  <c r="S59" i="2" s="1"/>
  <c r="S60" i="2" s="1"/>
  <c r="AH57" i="2"/>
  <c r="AH59" i="2" s="1"/>
  <c r="AH60" i="2" s="1"/>
  <c r="R57" i="2"/>
  <c r="AA57" i="2"/>
  <c r="AA59" i="2" s="1"/>
  <c r="AA60" i="2" s="1"/>
  <c r="T57" i="2"/>
  <c r="T59" i="2" s="1"/>
  <c r="T60" i="2" s="1"/>
  <c r="AJ57" i="2"/>
  <c r="AP57" i="2"/>
  <c r="AP59" i="2" s="1"/>
  <c r="AP60" i="2" s="1"/>
  <c r="AQ57" i="2"/>
  <c r="AQ59" i="2" s="1"/>
  <c r="AQ60" i="2" s="1"/>
  <c r="AB57" i="2"/>
  <c r="AB59" i="2" s="1"/>
  <c r="AB60" i="2" s="1"/>
  <c r="P54" i="9"/>
  <c r="S54" i="9"/>
  <c r="S56" i="9" s="1"/>
  <c r="S57" i="9" s="1"/>
  <c r="W54" i="9"/>
  <c r="W56" i="9" s="1"/>
  <c r="W57" i="9" s="1"/>
  <c r="AA54" i="9"/>
  <c r="AA56" i="9" s="1"/>
  <c r="AA57" i="9" s="1"/>
  <c r="AD54" i="9"/>
  <c r="AD56" i="9" s="1"/>
  <c r="AD57" i="9" s="1"/>
  <c r="AH54" i="9"/>
  <c r="AH56" i="9" s="1"/>
  <c r="AH57" i="9" s="1"/>
  <c r="AL54" i="9"/>
  <c r="AL56" i="9" s="1"/>
  <c r="AL57" i="9" s="1"/>
  <c r="AO54" i="9"/>
  <c r="AO56" i="9" s="1"/>
  <c r="AO57" i="9" s="1"/>
  <c r="AS54" i="9"/>
  <c r="AS56" i="9" s="1"/>
  <c r="AS57" i="9" s="1"/>
  <c r="Y54" i="9"/>
  <c r="Y56" i="9" s="1"/>
  <c r="Y57" i="9" s="1"/>
  <c r="AF54" i="9"/>
  <c r="AN54" i="9"/>
  <c r="T54" i="9"/>
  <c r="T56" i="9" s="1"/>
  <c r="T57" i="9" s="1"/>
  <c r="X54" i="9"/>
  <c r="AB54" i="9"/>
  <c r="AB56" i="9" s="1"/>
  <c r="AB57" i="9" s="1"/>
  <c r="AE54" i="9"/>
  <c r="AI54" i="9"/>
  <c r="AM54" i="9"/>
  <c r="AM56" i="9" s="1"/>
  <c r="AM57" i="9" s="1"/>
  <c r="AP54" i="9"/>
  <c r="AP56" i="9" s="1"/>
  <c r="AP57" i="9" s="1"/>
  <c r="AT54" i="9"/>
  <c r="AT56" i="9" s="1"/>
  <c r="AT57" i="9" s="1"/>
  <c r="U54" i="9"/>
  <c r="U56" i="9" s="1"/>
  <c r="U57" i="9" s="1"/>
  <c r="AC54" i="9"/>
  <c r="AJ54" i="9"/>
  <c r="AQ54" i="9"/>
  <c r="AQ56" i="9" s="1"/>
  <c r="AQ57" i="9" s="1"/>
  <c r="AG54" i="9"/>
  <c r="AG56" i="9" s="1"/>
  <c r="AG57" i="9" s="1"/>
  <c r="Z54" i="9"/>
  <c r="V54" i="9"/>
  <c r="V56" i="9" s="1"/>
  <c r="V57" i="9" s="1"/>
  <c r="AK54" i="9"/>
  <c r="R54" i="9"/>
  <c r="AR54" i="9"/>
  <c r="AR56" i="9" s="1"/>
  <c r="AR57" i="9" s="1"/>
  <c r="Z55" i="9"/>
  <c r="AK55" i="9"/>
  <c r="R55" i="9"/>
  <c r="AF55" i="9"/>
  <c r="X55" i="9"/>
  <c r="AC55" i="9"/>
  <c r="AE55" i="9"/>
  <c r="AI55" i="9"/>
  <c r="AN55" i="9"/>
  <c r="AJ55" i="9"/>
  <c r="P55" i="9"/>
  <c r="Q54" i="9"/>
  <c r="Q56" i="9" s="1"/>
  <c r="Q57" i="9" s="1"/>
  <c r="O54" i="9"/>
  <c r="Q57" i="2"/>
  <c r="Q59" i="2" s="1"/>
  <c r="Q60" i="2" s="1"/>
  <c r="BM46" i="1"/>
  <c r="BM47" i="1"/>
  <c r="J37" i="1"/>
  <c r="N37" i="1"/>
  <c r="J35" i="1"/>
  <c r="N35" i="1"/>
  <c r="F35" i="1"/>
  <c r="F37" i="1"/>
  <c r="G37" i="1" s="1"/>
  <c r="G25" i="11"/>
  <c r="F44" i="1"/>
  <c r="F42" i="1"/>
  <c r="G42" i="1" s="1"/>
  <c r="BN42" i="1" s="1"/>
  <c r="F34" i="1"/>
  <c r="G34" i="1" s="1"/>
  <c r="BN34" i="1" s="1"/>
  <c r="F16" i="1"/>
  <c r="BN16" i="1" s="1"/>
  <c r="F22" i="1"/>
  <c r="G22" i="1" s="1"/>
  <c r="BN22" i="1" s="1"/>
  <c r="F24" i="1"/>
  <c r="F25" i="1"/>
  <c r="G25" i="1" s="1"/>
  <c r="F29" i="1"/>
  <c r="BN29" i="1" s="1"/>
  <c r="F27" i="1"/>
  <c r="G27" i="1" s="1"/>
  <c r="BN27" i="1" s="1"/>
  <c r="F43" i="1"/>
  <c r="BN43" i="1" s="1"/>
  <c r="F26" i="1"/>
  <c r="BN26" i="1" s="1"/>
  <c r="F17" i="1"/>
  <c r="BN17" i="1" s="1"/>
  <c r="F18" i="1"/>
  <c r="G18" i="1" s="1"/>
  <c r="BN18" i="1" s="1"/>
  <c r="BO18" i="1" s="1"/>
  <c r="G5" i="1"/>
  <c r="BN5" i="1" s="1"/>
  <c r="F30" i="1"/>
  <c r="BN30" i="1" s="1"/>
  <c r="F23" i="1"/>
  <c r="G23" i="1" s="1"/>
  <c r="BN23" i="1" s="1"/>
  <c r="F38" i="1"/>
  <c r="BN38" i="1" s="1"/>
  <c r="G10" i="1"/>
  <c r="BN10" i="1" s="1"/>
  <c r="BO10" i="1" s="1"/>
  <c r="F12" i="1"/>
  <c r="BN12" i="1" s="1"/>
  <c r="F19" i="1"/>
  <c r="G19" i="1" s="1"/>
  <c r="BN19" i="1" s="1"/>
  <c r="G9" i="1"/>
  <c r="BN9" i="1" s="1"/>
  <c r="F32" i="1"/>
  <c r="G32" i="1" s="1"/>
  <c r="BN32" i="1" s="1"/>
  <c r="G28" i="1"/>
  <c r="BN28" i="1" s="1"/>
  <c r="F21" i="1"/>
  <c r="G21" i="1" s="1"/>
  <c r="BN21" i="1" s="1"/>
  <c r="F36" i="1"/>
  <c r="BN36" i="1" s="1"/>
  <c r="F11" i="1"/>
  <c r="BN11" i="1" s="1"/>
  <c r="F41" i="1"/>
  <c r="G41" i="1" s="1"/>
  <c r="BN41" i="1" s="1"/>
  <c r="BO41" i="1" s="1"/>
  <c r="F31" i="1"/>
  <c r="BN31" i="1" s="1"/>
  <c r="F39" i="1"/>
  <c r="BN39" i="1" s="1"/>
  <c r="F7" i="1"/>
  <c r="BN7" i="1" s="1"/>
  <c r="N20" i="1"/>
  <c r="J20" i="1"/>
  <c r="N13" i="1"/>
  <c r="J13" i="1"/>
  <c r="W17" i="11"/>
  <c r="J43" i="1"/>
  <c r="N43" i="1"/>
  <c r="J11" i="1"/>
  <c r="N11" i="1"/>
  <c r="J12" i="1"/>
  <c r="N12" i="1"/>
  <c r="J30" i="1"/>
  <c r="N30" i="1"/>
  <c r="G6" i="1"/>
  <c r="BN6" i="1" s="1"/>
  <c r="J41" i="1"/>
  <c r="N41" i="1"/>
  <c r="J22" i="1"/>
  <c r="N22" i="1"/>
  <c r="J24" i="1"/>
  <c r="N24" i="1"/>
  <c r="J25" i="1"/>
  <c r="N25" i="1"/>
  <c r="J29" i="1"/>
  <c r="N29" i="1"/>
  <c r="J27" i="1"/>
  <c r="N27" i="1"/>
  <c r="S27" i="11"/>
  <c r="V24" i="11"/>
  <c r="U20" i="11"/>
  <c r="U17" i="11"/>
  <c r="V38" i="11"/>
  <c r="U34" i="11"/>
  <c r="U31" i="11"/>
  <c r="X27" i="11"/>
  <c r="X24" i="11"/>
  <c r="U27" i="11"/>
  <c r="U24" i="11"/>
  <c r="X20" i="11"/>
  <c r="X17" i="11"/>
  <c r="V20" i="11"/>
  <c r="V17" i="11"/>
  <c r="V13" i="11"/>
  <c r="V10" i="11"/>
  <c r="X13" i="11"/>
  <c r="X10" i="11"/>
  <c r="U13" i="11"/>
  <c r="U10" i="11"/>
  <c r="X6" i="11"/>
  <c r="X3" i="11"/>
  <c r="V6" i="11"/>
  <c r="V3" i="11"/>
  <c r="U6" i="11"/>
  <c r="U3" i="11"/>
  <c r="X85" i="11"/>
  <c r="X80" i="11"/>
  <c r="X76" i="11"/>
  <c r="X72" i="11"/>
  <c r="X68" i="11"/>
  <c r="V85" i="11"/>
  <c r="V80" i="11"/>
  <c r="V76" i="11"/>
  <c r="V72" i="11"/>
  <c r="V68" i="11"/>
  <c r="U41" i="11"/>
  <c r="S41" i="11"/>
  <c r="X41" i="11"/>
  <c r="Q41" i="11"/>
  <c r="K41" i="11"/>
  <c r="J41" i="11"/>
  <c r="H41" i="11"/>
  <c r="G41" i="11"/>
  <c r="E41" i="11"/>
  <c r="W38" i="11"/>
  <c r="U38" i="11"/>
  <c r="T38" i="11"/>
  <c r="S38" i="11"/>
  <c r="X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C41" i="11"/>
  <c r="C38" i="11"/>
  <c r="D38" i="11"/>
  <c r="X31" i="11"/>
  <c r="W31" i="11"/>
  <c r="T31" i="11"/>
  <c r="S31" i="11"/>
  <c r="V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X34" i="11"/>
  <c r="S34" i="11"/>
  <c r="V34" i="11"/>
  <c r="O34" i="11"/>
  <c r="N34" i="11"/>
  <c r="K34" i="11"/>
  <c r="I34" i="11"/>
  <c r="G34" i="11"/>
  <c r="E34" i="11"/>
  <c r="V27" i="11"/>
  <c r="T27" i="11"/>
  <c r="N27" i="11"/>
  <c r="K27" i="11"/>
  <c r="J27" i="11"/>
  <c r="F27" i="11"/>
  <c r="C27" i="11"/>
  <c r="W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S20" i="11"/>
  <c r="R20" i="11"/>
  <c r="Q20" i="11"/>
  <c r="K20" i="11"/>
  <c r="J20" i="11"/>
  <c r="H20" i="11"/>
  <c r="G20" i="11"/>
  <c r="E20" i="11"/>
  <c r="D20" i="11"/>
  <c r="C20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T13" i="11"/>
  <c r="Q13" i="11"/>
  <c r="P13" i="11"/>
  <c r="K13" i="11"/>
  <c r="F13" i="11"/>
  <c r="E13" i="11"/>
  <c r="W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T6" i="11"/>
  <c r="Q6" i="11"/>
  <c r="K6" i="11"/>
  <c r="C6" i="11"/>
  <c r="W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N6" i="1"/>
  <c r="N44" i="1"/>
  <c r="N42" i="1"/>
  <c r="N40" i="1"/>
  <c r="N39" i="1"/>
  <c r="N36" i="1"/>
  <c r="N21" i="1"/>
  <c r="N28" i="1"/>
  <c r="N33" i="1"/>
  <c r="N32" i="1"/>
  <c r="N9" i="1"/>
  <c r="N19" i="1"/>
  <c r="N10" i="1"/>
  <c r="N38" i="1"/>
  <c r="N23" i="1"/>
  <c r="N5" i="1"/>
  <c r="N18" i="1"/>
  <c r="N17" i="1"/>
  <c r="N26" i="1"/>
  <c r="N8" i="1"/>
  <c r="N16" i="1"/>
  <c r="N34" i="1"/>
  <c r="N7" i="1"/>
  <c r="J6" i="1"/>
  <c r="J44" i="1"/>
  <c r="J42" i="1"/>
  <c r="J40" i="1"/>
  <c r="J39" i="1"/>
  <c r="J36" i="1"/>
  <c r="J21" i="1"/>
  <c r="J28" i="1"/>
  <c r="J33" i="1"/>
  <c r="J32" i="1"/>
  <c r="J9" i="1"/>
  <c r="J19" i="1"/>
  <c r="J10" i="1"/>
  <c r="J38" i="1"/>
  <c r="J23" i="1"/>
  <c r="J5" i="1"/>
  <c r="J18" i="1"/>
  <c r="J17" i="1"/>
  <c r="J26" i="1"/>
  <c r="J8" i="1"/>
  <c r="J16" i="1"/>
  <c r="J34" i="1"/>
  <c r="J7" i="1"/>
  <c r="X4" i="11"/>
  <c r="X7" i="11" s="1"/>
  <c r="V4" i="11"/>
  <c r="V7" i="11" s="1"/>
  <c r="U4" i="11"/>
  <c r="U7" i="11" s="1"/>
  <c r="V39" i="11"/>
  <c r="V42" i="11" s="1"/>
  <c r="V25" i="11"/>
  <c r="V28" i="11" s="1"/>
  <c r="X25" i="11"/>
  <c r="X28" i="11" s="1"/>
  <c r="X18" i="11"/>
  <c r="X21" i="11" s="1"/>
  <c r="V18" i="11"/>
  <c r="V21" i="11" s="1"/>
  <c r="V11" i="11"/>
  <c r="V14" i="11" s="1"/>
  <c r="K39" i="11"/>
  <c r="K42" i="11" s="1"/>
  <c r="X39" i="11"/>
  <c r="X42" i="11" s="1"/>
  <c r="N39" i="11"/>
  <c r="N42" i="11" s="1"/>
  <c r="T39" i="11"/>
  <c r="T42" i="11" s="1"/>
  <c r="T32" i="11"/>
  <c r="T35" i="11" s="1"/>
  <c r="N32" i="11"/>
  <c r="N35" i="11" s="1"/>
  <c r="K32" i="11"/>
  <c r="K35" i="11" s="1"/>
  <c r="V32" i="11"/>
  <c r="V35" i="11" s="1"/>
  <c r="X32" i="11"/>
  <c r="X35" i="11" s="1"/>
  <c r="K25" i="11"/>
  <c r="K28" i="11" s="1"/>
  <c r="T25" i="11"/>
  <c r="T28" i="11" s="1"/>
  <c r="N25" i="11"/>
  <c r="N28" i="11" s="1"/>
  <c r="T18" i="11"/>
  <c r="T21" i="11" s="1"/>
  <c r="N18" i="11"/>
  <c r="N21" i="11" s="1"/>
  <c r="K18" i="11"/>
  <c r="K21" i="11" s="1"/>
  <c r="X11" i="11"/>
  <c r="X14" i="11" s="1"/>
  <c r="K11" i="11"/>
  <c r="K14" i="11" s="1"/>
  <c r="N11" i="11"/>
  <c r="N14" i="11" s="1"/>
  <c r="T11" i="11"/>
  <c r="T14" i="11" s="1"/>
  <c r="K4" i="11"/>
  <c r="K7" i="11" s="1"/>
  <c r="T4" i="11"/>
  <c r="T7" i="11" s="1"/>
  <c r="N4" i="11"/>
  <c r="N7" i="11" s="1"/>
  <c r="O41" i="11"/>
  <c r="U68" i="11"/>
  <c r="U72" i="11"/>
  <c r="U76" i="11"/>
  <c r="U80" i="11"/>
  <c r="U85" i="11"/>
  <c r="Q27" i="11"/>
  <c r="P20" i="11"/>
  <c r="N6" i="11"/>
  <c r="G14" i="1"/>
  <c r="BN14" i="1" s="1"/>
  <c r="G13" i="1"/>
  <c r="BN13" i="1" s="1"/>
  <c r="F20" i="1"/>
  <c r="O85" i="11"/>
  <c r="O80" i="11"/>
  <c r="O76" i="11"/>
  <c r="O72" i="11"/>
  <c r="O68" i="11"/>
  <c r="E85" i="11"/>
  <c r="E80" i="11"/>
  <c r="E72" i="11"/>
  <c r="E68" i="11"/>
  <c r="E76" i="11"/>
  <c r="G85" i="11"/>
  <c r="G80" i="11"/>
  <c r="G72" i="11"/>
  <c r="G68" i="11"/>
  <c r="G76" i="11"/>
  <c r="I85" i="11"/>
  <c r="I80" i="11"/>
  <c r="I72" i="11"/>
  <c r="I68" i="11"/>
  <c r="I76" i="11"/>
  <c r="K85" i="11"/>
  <c r="K80" i="11"/>
  <c r="K72" i="11"/>
  <c r="K68" i="11"/>
  <c r="K76" i="11"/>
  <c r="M85" i="11"/>
  <c r="M80" i="11"/>
  <c r="M72" i="11"/>
  <c r="M68" i="11"/>
  <c r="M76" i="11"/>
  <c r="Q85" i="11"/>
  <c r="Q80" i="11"/>
  <c r="Q72" i="11"/>
  <c r="Q68" i="11"/>
  <c r="Q76" i="11"/>
  <c r="S85" i="11"/>
  <c r="S80" i="11"/>
  <c r="S72" i="11"/>
  <c r="S68" i="11"/>
  <c r="S76" i="11"/>
  <c r="D41" i="11"/>
  <c r="C68" i="11"/>
  <c r="D68" i="11"/>
  <c r="F68" i="11"/>
  <c r="H68" i="11"/>
  <c r="J68" i="11"/>
  <c r="N68" i="11"/>
  <c r="P68" i="11"/>
  <c r="R68" i="11"/>
  <c r="T68" i="11"/>
  <c r="W68" i="11"/>
  <c r="L68" i="11"/>
  <c r="C72" i="11"/>
  <c r="D72" i="11"/>
  <c r="F72" i="11"/>
  <c r="H72" i="11"/>
  <c r="J72" i="11"/>
  <c r="N72" i="11"/>
  <c r="P72" i="11"/>
  <c r="R72" i="11"/>
  <c r="T72" i="11"/>
  <c r="W72" i="11"/>
  <c r="L72" i="11"/>
  <c r="C76" i="11"/>
  <c r="D76" i="11"/>
  <c r="F76" i="11"/>
  <c r="H76" i="11"/>
  <c r="J76" i="11"/>
  <c r="N76" i="11"/>
  <c r="P76" i="11"/>
  <c r="R76" i="11"/>
  <c r="T76" i="11"/>
  <c r="W76" i="11"/>
  <c r="L76" i="11"/>
  <c r="C80" i="11"/>
  <c r="D80" i="11"/>
  <c r="F80" i="11"/>
  <c r="H80" i="11"/>
  <c r="J80" i="11"/>
  <c r="N80" i="11"/>
  <c r="P80" i="11"/>
  <c r="R80" i="11"/>
  <c r="T80" i="11"/>
  <c r="W80" i="11"/>
  <c r="L80" i="11"/>
  <c r="C85" i="11"/>
  <c r="D85" i="11"/>
  <c r="F85" i="11"/>
  <c r="H85" i="11"/>
  <c r="J85" i="11"/>
  <c r="N85" i="11"/>
  <c r="P85" i="11"/>
  <c r="R85" i="11"/>
  <c r="T85" i="11"/>
  <c r="W85" i="11"/>
  <c r="L85" i="11"/>
  <c r="T20" i="11"/>
  <c r="T41" i="11"/>
  <c r="I41" i="11"/>
  <c r="F41" i="11"/>
  <c r="R41" i="11"/>
  <c r="T34" i="11"/>
  <c r="L41" i="11"/>
  <c r="W41" i="11"/>
  <c r="P41" i="11"/>
  <c r="D34" i="11"/>
  <c r="P27" i="11"/>
  <c r="N20" i="11"/>
  <c r="N13" i="11"/>
  <c r="N41" i="11"/>
  <c r="V41" i="11"/>
  <c r="P6" i="11"/>
  <c r="T40" i="11"/>
  <c r="V40" i="11"/>
  <c r="K33" i="11"/>
  <c r="V33" i="11"/>
  <c r="T33" i="11"/>
  <c r="V5" i="11"/>
  <c r="X5" i="11"/>
  <c r="K5" i="11"/>
  <c r="T5" i="11"/>
  <c r="N5" i="11"/>
  <c r="N40" i="11"/>
  <c r="X40" i="11"/>
  <c r="K40" i="11"/>
  <c r="X33" i="11"/>
  <c r="N33" i="11"/>
  <c r="V26" i="11"/>
  <c r="X26" i="11"/>
  <c r="K26" i="11"/>
  <c r="N26" i="11"/>
  <c r="T26" i="11"/>
  <c r="V19" i="11"/>
  <c r="N19" i="11"/>
  <c r="T19" i="11"/>
  <c r="X19" i="11"/>
  <c r="K19" i="11"/>
  <c r="V12" i="11"/>
  <c r="X12" i="11"/>
  <c r="K12" i="11"/>
  <c r="T12" i="11"/>
  <c r="U5" i="11"/>
  <c r="N12" i="11"/>
  <c r="P18" i="11"/>
  <c r="H13" i="11"/>
  <c r="R13" i="11"/>
  <c r="Q18" i="11"/>
  <c r="O18" i="11"/>
  <c r="S18" i="11"/>
  <c r="O20" i="11"/>
  <c r="M20" i="11"/>
  <c r="C11" i="11"/>
  <c r="M41" i="11"/>
  <c r="H18" i="11"/>
  <c r="E18" i="11"/>
  <c r="R18" i="11"/>
  <c r="W18" i="11"/>
  <c r="G18" i="11"/>
  <c r="I18" i="11"/>
  <c r="F18" i="11"/>
  <c r="M18" i="11"/>
  <c r="U18" i="11"/>
  <c r="J18" i="11"/>
  <c r="L18" i="11"/>
  <c r="C18" i="11"/>
  <c r="D18" i="11"/>
  <c r="F11" i="11"/>
  <c r="R39" i="11"/>
  <c r="W39" i="11"/>
  <c r="W42" i="11" s="1"/>
  <c r="P39" i="11"/>
  <c r="C39" i="11"/>
  <c r="I39" i="11"/>
  <c r="D13" i="11"/>
  <c r="U40" i="11"/>
  <c r="F40" i="11"/>
  <c r="I40" i="11"/>
  <c r="J40" i="11"/>
  <c r="P40" i="11"/>
  <c r="W40" i="11"/>
  <c r="L40" i="11"/>
  <c r="L39" i="11"/>
  <c r="Q40" i="11"/>
  <c r="D40" i="11"/>
  <c r="O40" i="11"/>
  <c r="R40" i="11"/>
  <c r="E40" i="11"/>
  <c r="M40" i="11"/>
  <c r="F39" i="11"/>
  <c r="S39" i="11"/>
  <c r="M39" i="11"/>
  <c r="S40" i="11"/>
  <c r="Q39" i="11"/>
  <c r="O39" i="11"/>
  <c r="J39" i="11"/>
  <c r="H39" i="11"/>
  <c r="H40" i="11"/>
  <c r="U39" i="11"/>
  <c r="D39" i="11"/>
  <c r="G40" i="11"/>
  <c r="E39" i="11"/>
  <c r="G39" i="11"/>
  <c r="F32" i="11"/>
  <c r="M34" i="11"/>
  <c r="H34" i="11"/>
  <c r="P34" i="11"/>
  <c r="M32" i="11"/>
  <c r="F25" i="11"/>
  <c r="J25" i="11"/>
  <c r="M27" i="11"/>
  <c r="M25" i="11"/>
  <c r="E27" i="11"/>
  <c r="H27" i="11"/>
  <c r="C25" i="11"/>
  <c r="H25" i="11"/>
  <c r="Q25" i="11"/>
  <c r="F20" i="11"/>
  <c r="I20" i="11"/>
  <c r="W20" i="11"/>
  <c r="L20" i="11"/>
  <c r="P19" i="11"/>
  <c r="Q19" i="11"/>
  <c r="W19" i="11"/>
  <c r="S19" i="11"/>
  <c r="R19" i="11"/>
  <c r="H19" i="11"/>
  <c r="L19" i="11"/>
  <c r="F19" i="11"/>
  <c r="U19" i="11"/>
  <c r="D19" i="11"/>
  <c r="M19" i="11"/>
  <c r="E19" i="11"/>
  <c r="J19" i="11"/>
  <c r="G19" i="11"/>
  <c r="I19" i="11"/>
  <c r="O19" i="11"/>
  <c r="C34" i="11"/>
  <c r="P32" i="11"/>
  <c r="I13" i="11"/>
  <c r="S11" i="11"/>
  <c r="W11" i="11"/>
  <c r="J13" i="11"/>
  <c r="O13" i="11"/>
  <c r="W34" i="11"/>
  <c r="I33" i="11"/>
  <c r="L34" i="11"/>
  <c r="R25" i="11"/>
  <c r="D32" i="11"/>
  <c r="I32" i="11"/>
  <c r="H32" i="11"/>
  <c r="M11" i="11"/>
  <c r="L11" i="11"/>
  <c r="Q11" i="11"/>
  <c r="Q34" i="11"/>
  <c r="Q32" i="11"/>
  <c r="O32" i="11"/>
  <c r="E32" i="11"/>
  <c r="I25" i="11"/>
  <c r="D25" i="11"/>
  <c r="P25" i="11"/>
  <c r="O25" i="11"/>
  <c r="W25" i="11"/>
  <c r="W28" i="11" s="1"/>
  <c r="L32" i="11"/>
  <c r="R32" i="11"/>
  <c r="J34" i="11"/>
  <c r="J32" i="11"/>
  <c r="E11" i="11"/>
  <c r="I11" i="11"/>
  <c r="R11" i="11"/>
  <c r="P11" i="11"/>
  <c r="H11" i="11"/>
  <c r="C13" i="11"/>
  <c r="R27" i="11"/>
  <c r="U25" i="11"/>
  <c r="S25" i="11"/>
  <c r="L25" i="11"/>
  <c r="E25" i="11"/>
  <c r="G32" i="11"/>
  <c r="C32" i="11"/>
  <c r="S32" i="11"/>
  <c r="U32" i="11"/>
  <c r="W32" i="11"/>
  <c r="J11" i="11"/>
  <c r="D11" i="11"/>
  <c r="G11" i="11"/>
  <c r="U11" i="11"/>
  <c r="O11" i="11"/>
  <c r="F6" i="11"/>
  <c r="F34" i="11"/>
  <c r="L33" i="11"/>
  <c r="R34" i="11"/>
  <c r="O27" i="11"/>
  <c r="G27" i="11"/>
  <c r="D27" i="11"/>
  <c r="I27" i="11"/>
  <c r="L27" i="11"/>
  <c r="W13" i="11"/>
  <c r="S13" i="11"/>
  <c r="L13" i="11"/>
  <c r="G13" i="11"/>
  <c r="M13" i="11"/>
  <c r="H12" i="11"/>
  <c r="C40" i="11"/>
  <c r="C19" i="11"/>
  <c r="D33" i="11"/>
  <c r="O33" i="11"/>
  <c r="W33" i="11"/>
  <c r="R12" i="11"/>
  <c r="E33" i="11"/>
  <c r="F12" i="11"/>
  <c r="H33" i="11"/>
  <c r="I12" i="11"/>
  <c r="Q33" i="11"/>
  <c r="J33" i="11"/>
  <c r="S33" i="11"/>
  <c r="R33" i="11"/>
  <c r="U33" i="11"/>
  <c r="M33" i="11"/>
  <c r="P33" i="11"/>
  <c r="C33" i="11"/>
  <c r="F33" i="11"/>
  <c r="G33" i="11"/>
  <c r="W27" i="11"/>
  <c r="W12" i="11"/>
  <c r="L12" i="11"/>
  <c r="C12" i="11"/>
  <c r="M12" i="11"/>
  <c r="S12" i="11"/>
  <c r="O12" i="11"/>
  <c r="E12" i="11"/>
  <c r="G12" i="11"/>
  <c r="J12" i="11"/>
  <c r="P12" i="11"/>
  <c r="Q12" i="11"/>
  <c r="D12" i="11"/>
  <c r="U12" i="11"/>
  <c r="Q26" i="11"/>
  <c r="M26" i="11"/>
  <c r="S26" i="11"/>
  <c r="R26" i="11"/>
  <c r="O26" i="11"/>
  <c r="J26" i="11"/>
  <c r="P26" i="11"/>
  <c r="C26" i="11"/>
  <c r="H26" i="11"/>
  <c r="F26" i="11"/>
  <c r="L26" i="11"/>
  <c r="G26" i="11"/>
  <c r="U26" i="11"/>
  <c r="W26" i="11"/>
  <c r="I26" i="11"/>
  <c r="D26" i="11"/>
  <c r="E26" i="11"/>
  <c r="BM12" i="8" l="1"/>
  <c r="BM39" i="8"/>
  <c r="BM18" i="8"/>
  <c r="BM9" i="8"/>
  <c r="BM21" i="8"/>
  <c r="BM14" i="8"/>
  <c r="BM5" i="8"/>
  <c r="BO34" i="1"/>
  <c r="BN20" i="1"/>
  <c r="BO20" i="1" s="1"/>
  <c r="BO17" i="1"/>
  <c r="BN25" i="1"/>
  <c r="BO25" i="1" s="1"/>
  <c r="BN24" i="1"/>
  <c r="BO24" i="1" s="1"/>
  <c r="BO23" i="1"/>
  <c r="BO19" i="1"/>
  <c r="BO5" i="1"/>
  <c r="BO22" i="1"/>
  <c r="BO28" i="1"/>
  <c r="BO16" i="1"/>
  <c r="BO42" i="1"/>
  <c r="BO21" i="1"/>
  <c r="BO43" i="1"/>
  <c r="BO11" i="1"/>
  <c r="BO30" i="1"/>
  <c r="BO14" i="1"/>
  <c r="BO15" i="1"/>
  <c r="BO26" i="1"/>
  <c r="BO27" i="1"/>
  <c r="BO38" i="1"/>
  <c r="BO9" i="1"/>
  <c r="BO31" i="1"/>
  <c r="BO7" i="1"/>
  <c r="BO39" i="1"/>
  <c r="R59" i="2"/>
  <c r="R60" i="2" s="1"/>
  <c r="AF59" i="2"/>
  <c r="AF60" i="2" s="1"/>
  <c r="P59" i="2"/>
  <c r="P60" i="2" s="1"/>
  <c r="K44" i="1"/>
  <c r="BN44" i="1"/>
  <c r="BO44" i="1" s="1"/>
  <c r="H40" i="1"/>
  <c r="BN40" i="1"/>
  <c r="BO36" i="1" s="1"/>
  <c r="H37" i="1"/>
  <c r="BN37" i="1"/>
  <c r="BO32" i="1" s="1"/>
  <c r="K35" i="1"/>
  <c r="BN35" i="1"/>
  <c r="H33" i="1"/>
  <c r="BN33" i="1"/>
  <c r="BO33" i="1" s="1"/>
  <c r="AC59" i="2"/>
  <c r="AC60" i="2" s="1"/>
  <c r="AI56" i="9"/>
  <c r="AI57" i="9" s="1"/>
  <c r="AJ59" i="2"/>
  <c r="AJ60" i="2" s="1"/>
  <c r="X59" i="2"/>
  <c r="X60" i="2" s="1"/>
  <c r="AO59" i="2"/>
  <c r="AO60" i="2" s="1"/>
  <c r="AE59" i="2"/>
  <c r="AE60" i="2" s="1"/>
  <c r="AK59" i="2"/>
  <c r="AK60" i="2" s="1"/>
  <c r="P56" i="9"/>
  <c r="P57" i="9" s="1"/>
  <c r="AE56" i="9"/>
  <c r="AE57" i="9" s="1"/>
  <c r="Z56" i="9"/>
  <c r="Z57" i="9" s="1"/>
  <c r="AK56" i="9"/>
  <c r="AK57" i="9" s="1"/>
  <c r="AC56" i="9"/>
  <c r="AC57" i="9" s="1"/>
  <c r="R56" i="9"/>
  <c r="R57" i="9" s="1"/>
  <c r="AN56" i="9"/>
  <c r="AN57" i="9" s="1"/>
  <c r="O55" i="9"/>
  <c r="O56" i="9" s="1"/>
  <c r="O57" i="9" s="1"/>
  <c r="AJ56" i="9"/>
  <c r="AJ57" i="9" s="1"/>
  <c r="AF56" i="9"/>
  <c r="AF57" i="9" s="1"/>
  <c r="Z59" i="2"/>
  <c r="Z60" i="2" s="1"/>
  <c r="X56" i="9"/>
  <c r="X57" i="9" s="1"/>
  <c r="AL59" i="2"/>
  <c r="AL60" i="2" s="1"/>
  <c r="BO12" i="1"/>
  <c r="H41" i="1"/>
  <c r="K41" i="1"/>
  <c r="H29" i="1"/>
  <c r="K29" i="1"/>
  <c r="E4" i="11"/>
  <c r="K40" i="1"/>
  <c r="W4" i="11"/>
  <c r="H44" i="1"/>
  <c r="I4" i="11"/>
  <c r="K33" i="1"/>
  <c r="H7" i="1"/>
  <c r="K7" i="1"/>
  <c r="K32" i="1"/>
  <c r="H32" i="1"/>
  <c r="H12" i="1"/>
  <c r="K12" i="1"/>
  <c r="K6" i="1"/>
  <c r="H6" i="1"/>
  <c r="BO6" i="1"/>
  <c r="G4" i="11"/>
  <c r="F4" i="11"/>
  <c r="D4" i="11"/>
  <c r="O4" i="11"/>
  <c r="Q4" i="11"/>
  <c r="J4" i="11"/>
  <c r="C4" i="11"/>
  <c r="M4" i="11"/>
  <c r="P4" i="11"/>
  <c r="R4" i="11"/>
  <c r="S4" i="11"/>
  <c r="L4" i="11"/>
  <c r="H4" i="11"/>
  <c r="K37" i="1"/>
  <c r="H19" i="1"/>
  <c r="K19" i="1"/>
  <c r="H39" i="1"/>
  <c r="K39" i="1"/>
  <c r="K14" i="1"/>
  <c r="H14" i="1"/>
  <c r="H11" i="1"/>
  <c r="K11" i="1"/>
  <c r="K31" i="1"/>
  <c r="H25" i="1"/>
  <c r="K25" i="1"/>
  <c r="H38" i="1"/>
  <c r="K38" i="1"/>
  <c r="H26" i="1"/>
  <c r="K26" i="1"/>
  <c r="H24" i="1"/>
  <c r="K24" i="1"/>
  <c r="H21" i="1"/>
  <c r="K21" i="1"/>
  <c r="H10" i="1"/>
  <c r="K10" i="1"/>
  <c r="K20" i="1"/>
  <c r="H20" i="1"/>
  <c r="H9" i="1"/>
  <c r="K9" i="1"/>
  <c r="H23" i="1"/>
  <c r="K23" i="1"/>
  <c r="H22" i="1"/>
  <c r="K22" i="1"/>
  <c r="H13" i="1"/>
  <c r="K13" i="1"/>
  <c r="K30" i="1"/>
  <c r="H30" i="1"/>
  <c r="K16" i="1"/>
  <c r="H16" i="1"/>
  <c r="K5" i="1"/>
  <c r="H5" i="1"/>
  <c r="H43" i="1"/>
  <c r="K43" i="1"/>
  <c r="K34" i="1"/>
  <c r="H34" i="1"/>
  <c r="H36" i="1"/>
  <c r="K18" i="1"/>
  <c r="H18" i="1"/>
  <c r="H31" i="1"/>
  <c r="H28" i="1"/>
  <c r="K28" i="1"/>
  <c r="K17" i="1"/>
  <c r="H17" i="1"/>
  <c r="H42" i="1"/>
  <c r="K42" i="1"/>
  <c r="H27" i="1"/>
  <c r="H35" i="1"/>
  <c r="K27" i="1"/>
  <c r="K36" i="1"/>
  <c r="Q28" i="11"/>
  <c r="W14" i="11"/>
  <c r="E21" i="11"/>
  <c r="P21" i="11"/>
  <c r="H42" i="11"/>
  <c r="H28" i="11"/>
  <c r="R14" i="11"/>
  <c r="I35" i="11"/>
  <c r="C42" i="11"/>
  <c r="U21" i="11"/>
  <c r="S42" i="11"/>
  <c r="U42" i="11"/>
  <c r="J28" i="11"/>
  <c r="G21" i="11"/>
  <c r="P35" i="11"/>
  <c r="O21" i="11"/>
  <c r="P28" i="11"/>
  <c r="U35" i="11"/>
  <c r="D35" i="11"/>
  <c r="C14" i="11"/>
  <c r="U14" i="11"/>
  <c r="L21" i="11"/>
  <c r="L42" i="11"/>
  <c r="D42" i="11"/>
  <c r="Q35" i="11"/>
  <c r="S14" i="11"/>
  <c r="S21" i="11"/>
  <c r="M42" i="11"/>
  <c r="M21" i="11"/>
  <c r="L14" i="11"/>
  <c r="F35" i="11"/>
  <c r="E35" i="11"/>
  <c r="I28" i="11"/>
  <c r="O14" i="11"/>
  <c r="D21" i="11"/>
  <c r="P14" i="11"/>
  <c r="D14" i="11"/>
  <c r="S35" i="11"/>
  <c r="R35" i="11"/>
  <c r="G42" i="11"/>
  <c r="I42" i="11"/>
  <c r="F14" i="11"/>
  <c r="J21" i="11"/>
  <c r="R21" i="11"/>
  <c r="Q21" i="11"/>
  <c r="F42" i="11"/>
  <c r="W21" i="11"/>
  <c r="E28" i="11"/>
  <c r="M14" i="11"/>
  <c r="C35" i="11"/>
  <c r="L35" i="11"/>
  <c r="O28" i="11"/>
  <c r="L28" i="11"/>
  <c r="H14" i="11"/>
  <c r="E14" i="11"/>
  <c r="H35" i="11"/>
  <c r="R28" i="11"/>
  <c r="F21" i="11"/>
  <c r="F28" i="11"/>
  <c r="G28" i="11"/>
  <c r="G35" i="11"/>
  <c r="J35" i="11"/>
  <c r="O35" i="11"/>
  <c r="G14" i="11"/>
  <c r="W35" i="11"/>
  <c r="D28" i="11"/>
  <c r="Q14" i="11"/>
  <c r="I14" i="11"/>
  <c r="Q42" i="11"/>
  <c r="C28" i="11"/>
  <c r="M35" i="11"/>
  <c r="J14" i="11"/>
  <c r="U28" i="11"/>
  <c r="C21" i="11"/>
  <c r="I21" i="11"/>
  <c r="J42" i="11"/>
  <c r="P42" i="11"/>
  <c r="H21" i="11"/>
  <c r="S28" i="11"/>
  <c r="M28" i="11"/>
  <c r="E42" i="11"/>
  <c r="O42" i="11"/>
  <c r="R42" i="11"/>
  <c r="N45" i="11"/>
  <c r="N87" i="11" s="1"/>
  <c r="N89" i="11" s="1"/>
  <c r="X45" i="11"/>
  <c r="X87" i="11" s="1"/>
  <c r="X89" i="11" s="1"/>
  <c r="K45" i="11"/>
  <c r="K87" i="11" s="1"/>
  <c r="K89" i="11" s="1"/>
  <c r="V45" i="11"/>
  <c r="V87" i="11" s="1"/>
  <c r="V89" i="11" s="1"/>
  <c r="T45" i="11"/>
  <c r="T87" i="11" s="1"/>
  <c r="T89" i="11" s="1"/>
  <c r="BO29" i="1" l="1"/>
  <c r="BO35" i="1"/>
  <c r="BO8" i="1"/>
  <c r="BO13" i="1"/>
  <c r="BO40" i="1"/>
  <c r="BO37" i="1"/>
  <c r="H8" i="1"/>
  <c r="BM48" i="1" s="1"/>
  <c r="K8" i="1"/>
  <c r="E6" i="11" s="1"/>
  <c r="G46" i="1"/>
  <c r="W6" i="11"/>
  <c r="S6" i="11"/>
  <c r="J6" i="11"/>
  <c r="I6" i="11"/>
  <c r="M6" i="11"/>
  <c r="G6" i="11"/>
  <c r="L6" i="11"/>
  <c r="O6" i="11"/>
  <c r="D6" i="11"/>
  <c r="BN46" i="1"/>
  <c r="H5" i="11"/>
  <c r="R6" i="11"/>
  <c r="H6" i="11"/>
  <c r="S5" i="11"/>
  <c r="S7" i="11" s="1"/>
  <c r="S45" i="11" s="1"/>
  <c r="S87" i="11" s="1"/>
  <c r="S89" i="11" s="1"/>
  <c r="D5" i="11"/>
  <c r="D7" i="11" s="1"/>
  <c r="D45" i="11" s="1"/>
  <c r="D87" i="11" s="1"/>
  <c r="D89" i="11" s="1"/>
  <c r="Q5" i="11"/>
  <c r="Q7" i="11" s="1"/>
  <c r="Q45" i="11" s="1"/>
  <c r="Q87" i="11" s="1"/>
  <c r="Q89" i="11" s="1"/>
  <c r="I5" i="11"/>
  <c r="I7" i="11" s="1"/>
  <c r="I45" i="11" s="1"/>
  <c r="I87" i="11" s="1"/>
  <c r="I89" i="11" s="1"/>
  <c r="L5" i="11"/>
  <c r="L7" i="11" s="1"/>
  <c r="L45" i="11" s="1"/>
  <c r="L87" i="11" s="1"/>
  <c r="L89" i="11" s="1"/>
  <c r="P5" i="11"/>
  <c r="P7" i="11" s="1"/>
  <c r="P45" i="11" s="1"/>
  <c r="P87" i="11" s="1"/>
  <c r="P89" i="11" s="1"/>
  <c r="M5" i="11"/>
  <c r="M7" i="11" s="1"/>
  <c r="M45" i="11" s="1"/>
  <c r="M87" i="11" s="1"/>
  <c r="M89" i="11" s="1"/>
  <c r="W5" i="11"/>
  <c r="W7" i="11" s="1"/>
  <c r="W45" i="11" s="1"/>
  <c r="W87" i="11" s="1"/>
  <c r="W89" i="11" s="1"/>
  <c r="G5" i="11"/>
  <c r="G7" i="11" s="1"/>
  <c r="G45" i="11" s="1"/>
  <c r="G87" i="11" s="1"/>
  <c r="G89" i="11" s="1"/>
  <c r="R5" i="11"/>
  <c r="J5" i="11"/>
  <c r="J7" i="11" s="1"/>
  <c r="J45" i="11" s="1"/>
  <c r="J87" i="11" s="1"/>
  <c r="J89" i="11" s="1"/>
  <c r="O5" i="11"/>
  <c r="O7" i="11" s="1"/>
  <c r="O45" i="11" s="1"/>
  <c r="O87" i="11" s="1"/>
  <c r="O89" i="11" s="1"/>
  <c r="C5" i="11"/>
  <c r="C7" i="11" s="1"/>
  <c r="C45" i="11" s="1"/>
  <c r="C87" i="11" s="1"/>
  <c r="C89" i="11" s="1"/>
  <c r="F5" i="11"/>
  <c r="F7" i="11" s="1"/>
  <c r="F45" i="11" s="1"/>
  <c r="F87" i="11" s="1"/>
  <c r="F89" i="11" s="1"/>
  <c r="U45" i="11"/>
  <c r="U87" i="11" s="1"/>
  <c r="U89" i="11" s="1"/>
  <c r="BM49" i="1" l="1"/>
  <c r="BM50" i="1" s="1"/>
  <c r="H7" i="11"/>
  <c r="H45" i="11" s="1"/>
  <c r="H87" i="11" s="1"/>
  <c r="H89" i="11" s="1"/>
  <c r="R7" i="11"/>
  <c r="R45" i="11" s="1"/>
  <c r="R87" i="11" s="1"/>
  <c r="R89" i="11" s="1"/>
  <c r="E5" i="11"/>
  <c r="E7" i="11" s="1"/>
  <c r="E45" i="11" s="1"/>
  <c r="E87" i="11" s="1"/>
  <c r="E89" i="11" s="1"/>
</calcChain>
</file>

<file path=xl/comments1.xml><?xml version="1.0" encoding="utf-8"?>
<comments xmlns="http://schemas.openxmlformats.org/spreadsheetml/2006/main">
  <authors>
    <author>Nijst, Eefje (UCM)</author>
    <author>University College Maastricht</author>
    <author>Athena</author>
    <author>Anouk.Cuijpers</author>
    <author>Hewitt, Michael (UCM)</author>
    <author>Lennartz Tom (UCM)</author>
    <author>Vos Richard (UCM)</author>
    <author>AthenaDesktop</author>
    <author>Tom Quist</author>
    <author>Windows User</author>
    <author>Richard.Vos</author>
    <author>Vos, Richard (UCM)</author>
    <author>Dekker Teun (UCM)</author>
    <author>Giernalczyk, Wolfgang (UCM)</author>
  </authors>
  <commentList>
    <comment ref="V1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Conform planning input geen onderwijs BP1</t>
        </r>
      </text>
    </comment>
    <comment ref="G2" authorId="1" shapeId="0">
      <text>
        <r>
          <rPr>
            <b/>
            <sz val="8"/>
            <color indexed="81"/>
            <rFont val="Tahoma"/>
            <family val="2"/>
          </rPr>
          <t>University College Maastricht:</t>
        </r>
        <r>
          <rPr>
            <sz val="8"/>
            <color indexed="81"/>
            <rFont val="Tahoma"/>
            <family val="2"/>
          </rPr>
          <t xml:space="preserve">
ROUNDED</t>
        </r>
      </text>
    </comment>
    <comment ref="H2" authorId="2" shapeId="0">
      <text>
        <r>
          <rPr>
            <b/>
            <sz val="8"/>
            <color indexed="81"/>
            <rFont val="Tahoma"/>
            <family val="2"/>
          </rPr>
          <t>Athena:</t>
        </r>
        <r>
          <rPr>
            <sz val="8"/>
            <color indexed="81"/>
            <rFont val="Tahoma"/>
            <family val="2"/>
          </rPr>
          <t xml:space="preserve">
Aantal studenten per TG
</t>
        </r>
      </text>
    </comment>
    <comment ref="O2" authorId="1" shapeId="0">
      <text>
        <r>
          <rPr>
            <b/>
            <sz val="8"/>
            <color indexed="81"/>
            <rFont val="Tahoma"/>
            <family val="2"/>
          </rPr>
          <t>University College Maastricht:</t>
        </r>
        <r>
          <rPr>
            <sz val="8"/>
            <color indexed="81"/>
            <rFont val="Tahoma"/>
            <family val="2"/>
          </rPr>
          <t xml:space="preserve">
Aantal  tutoren te leveren door faculteit</t>
        </r>
      </text>
    </comment>
    <comment ref="P2" authorId="3" shapeId="0">
      <text>
        <r>
          <rPr>
            <sz val="8"/>
            <color indexed="81"/>
            <rFont val="Tahoma"/>
            <family val="2"/>
          </rPr>
          <t>Lonneke Bevers (1.0 fte)
taakstelling</t>
        </r>
      </text>
    </comment>
    <comment ref="Q2" authorId="1" shapeId="0">
      <text>
        <r>
          <rPr>
            <sz val="8"/>
            <color indexed="81"/>
            <rFont val="Tahoma"/>
            <family val="2"/>
          </rPr>
          <t>Louis Boon (1.0 fte)
taakstelling</t>
        </r>
      </text>
    </comment>
    <comment ref="R2" authorId="4" shapeId="0">
      <text>
        <r>
          <rPr>
            <b/>
            <sz val="9"/>
            <color indexed="81"/>
            <rFont val="Tahoma"/>
            <family val="2"/>
          </rPr>
          <t>Hewitt, Michael (UCM):</t>
        </r>
        <r>
          <rPr>
            <sz val="9"/>
            <color indexed="81"/>
            <rFont val="Tahoma"/>
            <family val="2"/>
          </rPr>
          <t xml:space="preserve">
Susana Carmona</t>
        </r>
      </text>
    </comment>
    <comment ref="S2" authorId="1" shapeId="0">
      <text>
        <r>
          <rPr>
            <sz val="8"/>
            <color indexed="81"/>
            <rFont val="Tahoma"/>
            <family val="2"/>
          </rPr>
          <t>Teun Dekker (1.0 fte)
taakstelling</t>
        </r>
      </text>
    </comment>
    <comment ref="T2" authorId="1" shapeId="0">
      <text>
        <r>
          <rPr>
            <sz val="8"/>
            <color indexed="81"/>
            <rFont val="Tahoma"/>
            <family val="2"/>
          </rPr>
          <t>Wilfred van Dellen (1.0 fte)
taakstelling</t>
        </r>
      </text>
    </comment>
    <comment ref="U2" authorId="5" shapeId="0">
      <text>
        <r>
          <rPr>
            <b/>
            <sz val="9"/>
            <color indexed="81"/>
            <rFont val="Tahoma"/>
            <family val="2"/>
          </rPr>
          <t>Lennartz Tom (UCM):</t>
        </r>
        <r>
          <rPr>
            <sz val="9"/>
            <color indexed="81"/>
            <rFont val="Tahoma"/>
            <family val="2"/>
          </rPr>
          <t xml:space="preserve">
Cihan Erkli</t>
        </r>
      </text>
    </comment>
    <comment ref="V2" authorId="6" shapeId="0">
      <text>
        <r>
          <rPr>
            <b/>
            <sz val="9"/>
            <color indexed="81"/>
            <rFont val="Tahoma"/>
            <family val="2"/>
          </rPr>
          <t>Angus Foster</t>
        </r>
      </text>
    </comment>
    <comment ref="W2" authorId="7" shapeId="0">
      <text>
        <r>
          <rPr>
            <sz val="8"/>
            <color indexed="81"/>
            <rFont val="Tahoma"/>
            <family val="2"/>
          </rPr>
          <t>Wolfgang Giernalczyk (1,0 fte)
taakstelling</t>
        </r>
      </text>
    </comment>
    <comment ref="X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T. Griffin/PhD Jos
0,1 fte D4 = 3.8 hrs</t>
        </r>
      </text>
    </comment>
    <comment ref="Y2" authorId="1" shapeId="0">
      <text>
        <r>
          <rPr>
            <sz val="8"/>
            <color indexed="81"/>
            <rFont val="Tahoma"/>
            <family val="2"/>
          </rPr>
          <t>Roberta Haar (1.0 fte)
taakstelling</t>
        </r>
      </text>
    </comment>
    <comment ref="Z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Caroline Huijts</t>
        </r>
      </text>
    </comment>
    <comment ref="AA2" authorId="8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Kai Heidemann</t>
        </r>
      </text>
    </comment>
    <comment ref="AB2" authorId="1" shapeId="0">
      <text>
        <r>
          <rPr>
            <sz val="8"/>
            <color indexed="81"/>
            <rFont val="Tahoma"/>
            <family val="2"/>
          </rPr>
          <t>Manuela Heins (1.0 fte) 
taakstelling</t>
        </r>
      </text>
    </comment>
    <comment ref="AC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Mitchel Kiefer</t>
        </r>
      </text>
    </comment>
    <comment ref="AD2" authorId="6" shapeId="0">
      <text>
        <r>
          <rPr>
            <b/>
            <sz val="9"/>
            <color indexed="81"/>
            <rFont val="Tahoma"/>
            <family val="2"/>
          </rPr>
          <t>Milan Kovacevic</t>
        </r>
      </text>
    </comment>
    <comment ref="AE2" authorId="9" shapeId="0">
      <text>
        <r>
          <rPr>
            <b/>
            <sz val="9"/>
            <color indexed="81"/>
            <rFont val="Tahoma"/>
            <family val="2"/>
          </rPr>
          <t>Veronica Lifrieri:</t>
        </r>
        <r>
          <rPr>
            <sz val="9"/>
            <color indexed="81"/>
            <rFont val="Tahoma"/>
            <family val="2"/>
          </rPr>
          <t xml:space="preserve">
1,0 fte aanstelling
waarvan 0,6 UCM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Enide Maegherman</t>
        </r>
      </text>
    </comment>
    <comment ref="AG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D. Melnyk/PhD Teun, external PhD, no teaching</t>
        </r>
      </text>
    </comment>
    <comment ref="AH2" authorId="8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Jeroen Moes</t>
        </r>
      </text>
    </comment>
    <comment ref="AI2" authorId="2" shapeId="0">
      <text>
        <r>
          <rPr>
            <sz val="8"/>
            <color indexed="81"/>
            <rFont val="Tahoma"/>
            <family val="2"/>
          </rPr>
          <t>Ulli Mueller (1.0 fte)
taakstelling</t>
        </r>
      </text>
    </comment>
    <comment ref="AJ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Andrew Oringer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Joris van Poecke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Christoph Rausch</t>
        </r>
      </text>
    </comment>
    <comment ref="AM2" authorId="6" shapeId="0">
      <text>
        <r>
          <rPr>
            <b/>
            <sz val="9"/>
            <color indexed="81"/>
            <rFont val="Tahoma"/>
            <family val="2"/>
          </rPr>
          <t>Vos Richard (UCM):</t>
        </r>
        <r>
          <rPr>
            <sz val="9"/>
            <color indexed="81"/>
            <rFont val="Tahoma"/>
            <family val="2"/>
          </rPr>
          <t xml:space="preserve">
Inge Römgens
</t>
        </r>
      </text>
    </comment>
    <comment ref="AN2" authorId="7" shapeId="0">
      <text>
        <r>
          <rPr>
            <sz val="8"/>
            <color indexed="81"/>
            <rFont val="Tahoma"/>
            <family val="2"/>
          </rPr>
          <t>Jenny Schell (0,9 fte)
taakstelling</t>
        </r>
      </text>
    </comment>
    <comment ref="AO2" authorId="8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Bram Schmidtz
Periode 1
2 onderwijsgroepen COR1005 Modeling Nature
4x surveilleren short test SKI2079 Lab Skills Human Anatomy and Histology
1x surveilleren eindtoets SKI2079 Lab Skills Human Anatomy and Histology
Periode 2
Coördinatie SCI2021 Metabolism and Activity
Onderwijsgroep SCI2021 Metabolism and Activity
Periode 4
Bij voorkeur 1 à 2 onderwijsgroepen COR1005 Modeling Nature, mits de werkzaamheden voor Pre-Med dat toelaten
</t>
        </r>
      </text>
    </comment>
    <comment ref="AP2" authorId="1" shapeId="0">
      <text>
        <r>
          <rPr>
            <sz val="8"/>
            <color indexed="81"/>
            <rFont val="Tahoma"/>
            <family val="2"/>
          </rPr>
          <t xml:space="preserve">Mark Stout (1.0 fte)
taakstelling </t>
        </r>
      </text>
    </comment>
    <comment ref="AQ2" authorId="2" shapeId="0">
      <text>
        <r>
          <rPr>
            <sz val="8"/>
            <color indexed="81"/>
            <rFont val="Tahoma"/>
            <family val="2"/>
          </rPr>
          <t xml:space="preserve">Peter Vermeer (1,0 fte)
taakstelling
</t>
        </r>
      </text>
    </comment>
    <comment ref="AR2" authorId="5" shapeId="0">
      <text>
        <r>
          <rPr>
            <b/>
            <sz val="9"/>
            <color indexed="81"/>
            <rFont val="Tahoma"/>
            <family val="2"/>
          </rPr>
          <t>Lennartz Tom (UCM):</t>
        </r>
        <r>
          <rPr>
            <sz val="9"/>
            <color indexed="81"/>
            <rFont val="Tahoma"/>
            <family val="2"/>
          </rPr>
          <t xml:space="preserve">
Dave Vliegenthart</t>
        </r>
      </text>
    </comment>
    <comment ref="AS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Jos Welie 0.25 FTE</t>
        </r>
      </text>
    </comment>
    <comment ref="AT2" authorId="10" shapeId="0">
      <text>
        <r>
          <rPr>
            <sz val="8"/>
            <color indexed="81"/>
            <rFont val="Tahoma"/>
            <family val="2"/>
          </rPr>
          <t>Alice Wellum</t>
        </r>
      </text>
    </comment>
    <comment ref="AU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Catherine Yuk Ping Lo</t>
        </r>
      </text>
    </comment>
    <comment ref="AV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Joost Boswinkel</t>
        </r>
      </text>
    </comment>
    <comment ref="AW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Stephanie Blom</t>
        </r>
      </text>
    </comment>
    <comment ref="AX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Ceren Cingi</t>
        </r>
      </text>
    </comment>
    <comment ref="AY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Xenia Tigani</t>
        </r>
      </text>
    </comment>
    <comment ref="AZ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Rikus van Eeden 0.8 FTE</t>
        </r>
      </text>
    </comment>
    <comment ref="BA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Zeta Eirtree</t>
        </r>
      </text>
    </comment>
    <comment ref="BB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Clarissa Guidi</t>
        </r>
      </text>
    </comment>
    <comment ref="BC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Job Heusschen</t>
        </r>
      </text>
    </comment>
    <comment ref="BD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Waldo Heugebaert</t>
        </r>
      </text>
    </comment>
    <comment ref="BE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Judith van Lookeren</t>
        </r>
      </text>
    </comment>
    <comment ref="BF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Ilya Malafei 0.8 FTE</t>
        </r>
      </text>
    </comment>
    <comment ref="BG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Mareike Moraal</t>
        </r>
      </text>
    </comment>
    <comment ref="BH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Alexandra Perez Tseyen</t>
        </r>
      </text>
    </comment>
    <comment ref="BI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Wouter Stoop</t>
        </r>
      </text>
    </comment>
    <comment ref="BJ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Kai Koenemann</t>
        </r>
      </text>
    </comment>
    <comment ref="BK2" authorId="11" shapeId="0">
      <text>
        <r>
          <rPr>
            <b/>
            <sz val="9"/>
            <color indexed="81"/>
            <rFont val="Tahoma"/>
            <family val="2"/>
          </rPr>
          <t>Vos, Richard (UCM):</t>
        </r>
        <r>
          <rPr>
            <sz val="9"/>
            <color indexed="81"/>
            <rFont val="Tahoma"/>
            <family val="2"/>
          </rPr>
          <t xml:space="preserve">
Julia van Zijl
</t>
        </r>
      </text>
    </comment>
    <comment ref="BL2" authorId="12" shapeId="0">
      <text>
        <r>
          <rPr>
            <b/>
            <sz val="9"/>
            <color indexed="81"/>
            <rFont val="Tahoma"/>
            <family val="2"/>
          </rPr>
          <t>Willian Oliviera dos Santos
0,5 fte</t>
        </r>
      </text>
    </comment>
    <comment ref="X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Y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ask if needed; planning input</t>
        </r>
      </text>
    </comment>
    <comment ref="AE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F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H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L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N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online planning input</t>
        </r>
      </text>
    </comment>
    <comment ref="AQ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R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S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 request/planning input</t>
        </r>
      </text>
    </comment>
    <comment ref="AT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U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G5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can be reduced to 20 or if needed even 19 (monitor how actual numbers develop)</t>
        </r>
      </text>
    </comment>
    <comment ref="O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V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K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is willing to help out 2 TG's and has space at their place. Would like to teach in the FP building</t>
        </r>
      </text>
    </comment>
    <comment ref="AP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 / planning input</t>
        </r>
      </text>
    </comment>
    <comment ref="BA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E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prefered course</t>
        </r>
      </text>
    </comment>
    <comment ref="BI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J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G6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can be reduced to 14 (if numbers go down a lot, perhaps even 13)</t>
        </r>
      </text>
    </comment>
    <comment ref="O6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has an interest in teaching this. He also participates in BENC1001 Intro business engineering.</t>
        </r>
      </text>
    </comment>
    <comment ref="X6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V6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X6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C6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M7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TG's planning input</t>
        </r>
      </text>
    </comment>
    <comment ref="BE7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input; in case than more then 2 groups, judith is requested by Inge</t>
        </r>
      </text>
    </comment>
    <comment ref="AR8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tutor all TG's / planning input</t>
        </r>
      </text>
    </comment>
    <comment ref="AO9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Bram indicated his preference for this course</t>
        </r>
      </text>
    </comment>
    <comment ref="AX9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G10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If really needed, going down to 3 is possible
</t>
        </r>
      </text>
    </comment>
    <comment ref="AO10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Bram indicated his preference for this course</t>
        </r>
      </text>
    </comment>
    <comment ref="AU10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3 TG's planning input</t>
        </r>
      </text>
    </comment>
    <comment ref="G11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can go down to 4
</t>
        </r>
      </text>
    </comment>
    <comment ref="O11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AF11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&amp; coordination planning input</t>
        </r>
      </text>
    </comment>
    <comment ref="AH11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BI11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L11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 request; NO RM1 Yes RMII</t>
        </r>
      </text>
    </comment>
    <comment ref="G12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can go down to 22 or 21, monitor student numbers
</t>
        </r>
      </text>
    </comment>
    <comment ref="O1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V1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2TG planning input</t>
        </r>
      </text>
    </comment>
    <comment ref="AD1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TG's planning input</t>
        </r>
      </text>
    </comment>
    <comment ref="AT1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1-2 TG planning input</t>
        </r>
      </text>
    </comment>
    <comment ref="AV1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X1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E1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J1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L1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R13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Masx 1 TG/ planning input</t>
        </r>
      </text>
    </comment>
    <comment ref="BA13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 due to ARI project a bit less teachinglaod, if possible 1 skill less.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G14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can go down to 11 if needed
</t>
        </r>
      </text>
    </comment>
    <comment ref="O1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2 TG's</t>
        </r>
      </text>
    </comment>
    <comment ref="U1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input planning meeting</t>
        </r>
      </text>
    </comment>
    <comment ref="BC14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A1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  <comment ref="AE1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  <comment ref="AH1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  <comment ref="AI1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to 4TG's planning input</t>
        </r>
      </text>
    </comment>
    <comment ref="AL1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  <comment ref="BF1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indicated by Uli</t>
        </r>
      </text>
    </comment>
    <comment ref="BJ1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optional</t>
        </r>
      </text>
    </comment>
    <comment ref="BL1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G16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monitor student numbers
</t>
        </r>
      </text>
    </comment>
    <comment ref="O16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TGs Saena Chakkar (ROA), 2 TG Kars van Oosterhout (ROA)</t>
        </r>
      </text>
    </comment>
    <comment ref="AA16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no TG's planning input</t>
        </r>
      </text>
    </comment>
    <comment ref="AE16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2TG's planning input</t>
        </r>
      </text>
    </comment>
    <comment ref="U17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Input planning meeting</t>
        </r>
      </text>
    </comment>
    <comment ref="Y17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F18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H18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T19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H19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L19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M19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U19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21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O2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UCM teaching support is needed for 2 TG's</t>
        </r>
      </text>
    </comment>
    <comment ref="O2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Robyn found enough teachers from FASoS, no UCM teaching support needed</t>
        </r>
      </text>
    </comment>
    <comment ref="G30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check teaching approach with coordinators and decide on number of TG accordingly</t>
        </r>
      </text>
    </comment>
    <comment ref="O31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AO31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Bram indicated his preference for this course</t>
        </r>
      </text>
    </comment>
    <comment ref="G32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Check teaching approach with coordinators and decide on number of TGs accordingly
</t>
        </r>
      </text>
    </comment>
    <comment ref="AO33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Bram indicated his preference for this course</t>
        </r>
      </text>
    </comment>
    <comment ref="G35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can go down to 8
</t>
        </r>
      </text>
    </comment>
    <comment ref="O3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see email; Phil, Arie and UCM/ Patrick Aarts optional</t>
        </r>
      </text>
    </comment>
    <comment ref="Z35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reach out to Caroline</t>
        </r>
      </text>
    </comment>
    <comment ref="G36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can go down to 5
</t>
        </r>
      </text>
    </comment>
    <comment ref="G40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monitor student numbers
</t>
        </r>
      </text>
    </comment>
    <comment ref="O40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see email; Phil, Arie and UCM, 2 TG Phil Brull and 1 TG Arie vd lLgt</t>
        </r>
      </text>
    </comment>
    <comment ref="G41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can go down to 8
</t>
        </r>
      </text>
    </comment>
    <comment ref="G42" authorId="13" shapeId="0">
      <text>
        <r>
          <rPr>
            <b/>
            <sz val="9"/>
            <color indexed="81"/>
            <rFont val="Tahoma"/>
            <family val="2"/>
          </rPr>
          <t>Giernalczyk, Wolfgang (UCM):</t>
        </r>
        <r>
          <rPr>
            <sz val="9"/>
            <color indexed="81"/>
            <rFont val="Tahoma"/>
            <family val="2"/>
          </rPr>
          <t xml:space="preserve">
if needed, go down to 5</t>
        </r>
      </text>
    </comment>
    <comment ref="O42" authorId="0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see email from Arie &amp; request of Svea Meier</t>
        </r>
      </text>
    </comment>
  </commentList>
</comments>
</file>

<file path=xl/comments2.xml><?xml version="1.0" encoding="utf-8"?>
<comments xmlns="http://schemas.openxmlformats.org/spreadsheetml/2006/main">
  <authors>
    <author>University College Maastricht</author>
    <author>Athena</author>
    <author>Nijst, Eefje (UCM)</author>
    <author>AthenaDesktop</author>
    <author>Tom Quist</author>
    <author>Vos Richard (UCM)</author>
    <author>Windows User</author>
    <author>Lennartz Tom (UCM)</author>
    <author>Richard.Vos</author>
    <author>Dekker Teun (UCM)</author>
    <author>Vos, Richard (UCM)</author>
  </authors>
  <commentList>
    <comment ref="G2" authorId="0" shapeId="0">
      <text>
        <r>
          <rPr>
            <b/>
            <sz val="8"/>
            <color indexed="81"/>
            <rFont val="Tahoma"/>
            <family val="2"/>
          </rPr>
          <t>University College Maastricht:</t>
        </r>
        <r>
          <rPr>
            <sz val="8"/>
            <color indexed="81"/>
            <rFont val="Tahoma"/>
            <family val="2"/>
          </rPr>
          <t xml:space="preserve">
ROUNDED</t>
        </r>
      </text>
    </comment>
    <comment ref="H2" authorId="1" shapeId="0">
      <text>
        <r>
          <rPr>
            <b/>
            <sz val="8"/>
            <color indexed="81"/>
            <rFont val="Tahoma"/>
            <family val="2"/>
          </rPr>
          <t>Athena:</t>
        </r>
        <r>
          <rPr>
            <sz val="8"/>
            <color indexed="81"/>
            <rFont val="Tahoma"/>
            <family val="2"/>
          </rPr>
          <t xml:space="preserve">
Aantal studenten per TG
</t>
        </r>
      </text>
    </comment>
    <comment ref="P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Lonneke Bevers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Louis Boon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Susanna Carmona</t>
        </r>
      </text>
    </comment>
    <comment ref="S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Teun Dekker</t>
        </r>
      </text>
    </comment>
    <comment ref="T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Wilfred van Dellen</t>
        </r>
      </text>
    </comment>
    <comment ref="U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Cihan Erkli</t>
        </r>
      </text>
    </comment>
    <comment ref="V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Angus Foster</t>
        </r>
      </text>
    </comment>
    <comment ref="W2" authorId="3" shapeId="0">
      <text>
        <r>
          <rPr>
            <sz val="8"/>
            <color indexed="81"/>
            <rFont val="Tahoma"/>
            <family val="2"/>
          </rPr>
          <t xml:space="preserve">Wolfgang Giernalczyk </t>
        </r>
      </text>
    </comment>
    <comment ref="X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T. Griffin/PhD Jos
0,1 fte D4 = 3.8 hrs</t>
        </r>
      </text>
    </comment>
    <comment ref="Y2" authorId="0" shapeId="0">
      <text>
        <r>
          <rPr>
            <sz val="8"/>
            <color indexed="81"/>
            <rFont val="Tahoma"/>
            <family val="2"/>
          </rPr>
          <t xml:space="preserve">Roberta Haar </t>
        </r>
      </text>
    </comment>
    <comment ref="Z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Caroline Huijts</t>
        </r>
      </text>
    </comment>
    <comment ref="AA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Kai Heidemann</t>
        </r>
      </text>
    </comment>
    <comment ref="AB2" authorId="0" shapeId="0">
      <text>
        <r>
          <rPr>
            <sz val="8"/>
            <color indexed="81"/>
            <rFont val="Tahoma"/>
            <family val="2"/>
          </rPr>
          <t xml:space="preserve">Manuela Heins </t>
        </r>
      </text>
    </comment>
    <comment ref="AC2" authorId="5" shapeId="0">
      <text>
        <r>
          <rPr>
            <b/>
            <sz val="9"/>
            <color indexed="81"/>
            <rFont val="Tahoma"/>
            <family val="2"/>
          </rPr>
          <t>Milan Kovacevic</t>
        </r>
      </text>
    </comment>
    <comment ref="AD2" authorId="6" shapeId="0">
      <text>
        <r>
          <rPr>
            <b/>
            <sz val="9"/>
            <color indexed="81"/>
            <rFont val="Tahoma"/>
            <family val="2"/>
          </rPr>
          <t>Veronica Lifrieri:</t>
        </r>
        <r>
          <rPr>
            <sz val="9"/>
            <color indexed="81"/>
            <rFont val="Tahoma"/>
            <family val="2"/>
          </rPr>
          <t xml:space="preserve">
1,0 fte aanstelling
waarvan 0,6 UCM</t>
        </r>
      </text>
    </comment>
    <comment ref="AE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Enide Maegherman 0.6 FTE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D. Melnyk/PhD Teun, external PhD, no teaching</t>
        </r>
      </text>
    </comment>
    <comment ref="AG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Jeroen Moes</t>
        </r>
      </text>
    </comment>
    <comment ref="AH2" authorId="1" shapeId="0">
      <text>
        <r>
          <rPr>
            <sz val="8"/>
            <color indexed="81"/>
            <rFont val="Tahoma"/>
            <family val="2"/>
          </rPr>
          <t xml:space="preserve">Ulli Mueller </t>
        </r>
      </text>
    </comment>
    <comment ref="AI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Laura Ogden 0.1 FTE available?</t>
        </r>
      </text>
    </comment>
    <comment ref="AJ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Andrew Oringer</t>
        </r>
      </text>
    </comment>
    <comment ref="AK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Joris van Poecke</t>
        </r>
      </text>
    </comment>
    <comment ref="AL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Christoph Rausch</t>
        </r>
      </text>
    </comment>
    <comment ref="AM2" authorId="5" shapeId="0">
      <text>
        <r>
          <rPr>
            <b/>
            <sz val="9"/>
            <color indexed="81"/>
            <rFont val="Tahoma"/>
            <family val="2"/>
          </rPr>
          <t>Vos Richard (UCM):</t>
        </r>
        <r>
          <rPr>
            <sz val="9"/>
            <color indexed="81"/>
            <rFont val="Tahoma"/>
            <family val="2"/>
          </rPr>
          <t xml:space="preserve">
Inge Römgens
</t>
        </r>
      </text>
    </comment>
    <comment ref="AN2" authorId="3" shapeId="0">
      <text>
        <r>
          <rPr>
            <sz val="8"/>
            <color indexed="81"/>
            <rFont val="Tahoma"/>
            <family val="2"/>
          </rPr>
          <t>Jenny Schell 0.9 fte</t>
        </r>
      </text>
    </comment>
    <comment ref="AO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Bram Schmitz
</t>
        </r>
      </text>
    </comment>
    <comment ref="AP2" authorId="0" shapeId="0">
      <text>
        <r>
          <rPr>
            <sz val="8"/>
            <color indexed="81"/>
            <rFont val="Tahoma"/>
            <family val="2"/>
          </rPr>
          <t xml:space="preserve">Mark Stout </t>
        </r>
      </text>
    </comment>
    <comment ref="AQ2" authorId="1" shapeId="0">
      <text>
        <r>
          <rPr>
            <sz val="8"/>
            <color indexed="81"/>
            <rFont val="Tahoma"/>
            <family val="2"/>
          </rPr>
          <t xml:space="preserve">Peter Vermeer 
</t>
        </r>
      </text>
    </comment>
    <comment ref="AR2" authorId="7" shapeId="0">
      <text>
        <r>
          <rPr>
            <b/>
            <sz val="9"/>
            <color indexed="81"/>
            <rFont val="Tahoma"/>
            <family val="2"/>
          </rPr>
          <t>Lennartz Tom (UCM):</t>
        </r>
        <r>
          <rPr>
            <sz val="9"/>
            <color indexed="81"/>
            <rFont val="Tahoma"/>
            <family val="2"/>
          </rPr>
          <t xml:space="preserve">
Dave Vliegenthart</t>
        </r>
      </text>
    </comment>
    <comment ref="AS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Jos Welie 0.25 FTE</t>
        </r>
      </text>
    </comment>
    <comment ref="AT2" authorId="8" shapeId="0">
      <text>
        <r>
          <rPr>
            <sz val="8"/>
            <color indexed="81"/>
            <rFont val="Tahoma"/>
            <family val="2"/>
          </rPr>
          <t>Alice Wellum</t>
        </r>
      </text>
    </comment>
    <comment ref="AU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Catherine Yuk Ping Lo</t>
        </r>
      </text>
    </comment>
    <comment ref="AV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Joost Boswinkel</t>
        </r>
      </text>
    </comment>
    <comment ref="AW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Stephanie Blom</t>
        </r>
      </text>
    </comment>
    <comment ref="AX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Ceren Cingi</t>
        </r>
      </text>
    </comment>
    <comment ref="AY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Xenia Tigani</t>
        </r>
      </text>
    </comment>
    <comment ref="AZ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Rikus van Eeden 0.8 FTE</t>
        </r>
      </text>
    </comment>
    <comment ref="BA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Zeta Eirtree</t>
        </r>
      </text>
    </comment>
    <comment ref="BB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Clarissa Guidi</t>
        </r>
      </text>
    </comment>
    <comment ref="BC2" authorId="9" shapeId="0">
      <text>
        <r>
          <rPr>
            <b/>
            <sz val="9"/>
            <color indexed="81"/>
            <rFont val="Tahoma"/>
            <family val="2"/>
          </rPr>
          <t>Job Heusschen</t>
        </r>
      </text>
    </comment>
    <comment ref="BD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Waldo Heugebaert</t>
        </r>
      </text>
    </comment>
    <comment ref="BE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Judith van Lookeren</t>
        </r>
      </text>
    </comment>
    <comment ref="BF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Ilya Malafei 0.8 FTE</t>
        </r>
      </text>
    </comment>
    <comment ref="BG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Alexandra Perez Tseyen</t>
        </r>
      </text>
    </comment>
    <comment ref="BH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Wouter Stoop</t>
        </r>
      </text>
    </comment>
    <comment ref="BI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Kai Koenemann</t>
        </r>
      </text>
    </comment>
    <comment ref="BJ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Mareike Moraal</t>
        </r>
      </text>
    </comment>
    <comment ref="BK2" authorId="10" shapeId="0">
      <text>
        <r>
          <rPr>
            <b/>
            <sz val="9"/>
            <color indexed="81"/>
            <rFont val="Tahoma"/>
            <family val="2"/>
          </rPr>
          <t>Vos, Richard (UCM):</t>
        </r>
        <r>
          <rPr>
            <sz val="9"/>
            <color indexed="81"/>
            <rFont val="Tahoma"/>
            <family val="2"/>
          </rPr>
          <t xml:space="preserve">
Julia van Zijl
</t>
        </r>
      </text>
    </comment>
    <comment ref="BL2" authorId="9" shapeId="0">
      <text>
        <r>
          <rPr>
            <b/>
            <sz val="9"/>
            <color indexed="81"/>
            <rFont val="Tahoma"/>
            <family val="2"/>
          </rPr>
          <t>Willian Oliviera dos Santos
0,5 fte</t>
        </r>
      </text>
    </comment>
    <comment ref="P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Back up</t>
        </r>
      </text>
    </comment>
    <comment ref="T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1TG planning input</t>
        </r>
      </text>
    </comment>
    <comment ref="X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Y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ask if needed; planning input</t>
        </r>
      </text>
    </comment>
    <comment ref="AD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E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G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if needed 1 TG planning input</t>
        </r>
      </text>
    </comment>
    <comment ref="AL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online planning input</t>
        </r>
      </text>
    </comment>
    <comment ref="AR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S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 request/planning input</t>
        </r>
      </text>
    </comment>
    <comment ref="AT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in case needed / planning input</t>
        </r>
      </text>
    </comment>
    <comment ref="AU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Q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Max 1 TG/ planning input</t>
        </r>
      </text>
    </comment>
    <comment ref="AX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PoS preference</t>
        </r>
      </text>
    </comment>
    <comment ref="BC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Q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in case of more groups Mark should do them</t>
        </r>
      </text>
    </comment>
    <comment ref="AP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3 TG's / planning input</t>
        </r>
      </text>
    </comment>
    <comment ref="O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Levin Stein, would like to tutor see email</t>
        </r>
      </text>
    </comment>
    <comment ref="AM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TG's planning input</t>
        </r>
      </text>
    </comment>
    <comment ref="BE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1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BD1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 request/planning input</t>
        </r>
      </text>
    </comment>
    <comment ref="AH1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max planning input</t>
        </r>
      </text>
    </comment>
    <comment ref="BE1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Identities &amp; cultural studies preference</t>
        </r>
      </text>
    </comment>
    <comment ref="O1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O2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AO2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Bram indicated his preference for this course</t>
        </r>
      </text>
    </comment>
    <comment ref="AX2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too high level/ OBP</t>
        </r>
      </text>
    </comment>
    <comment ref="AE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G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X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academic skills trajectory is option/planning input</t>
        </r>
      </text>
    </comment>
    <comment ref="BH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L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V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 planning input</t>
        </r>
      </text>
    </comment>
    <comment ref="AV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X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academic skills trajectory is option/planning input</t>
        </r>
      </text>
    </comment>
    <comment ref="BC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D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E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I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X3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D3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T3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2-3 TG planning input</t>
        </r>
      </text>
    </comment>
    <comment ref="AX3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Too high level for OBP</t>
        </r>
      </text>
    </comment>
    <comment ref="BH3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if needed, he is willing to help out</t>
        </r>
      </text>
    </comment>
    <comment ref="AQ3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V3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C3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Preferred!!</t>
        </r>
      </text>
    </comment>
    <comment ref="BD3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M3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T3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or 2 TG planning input</t>
        </r>
      </text>
    </comment>
    <comment ref="AH3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to 4 TG's planning input</t>
        </r>
      </text>
    </comment>
    <comment ref="Y3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I3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3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AA4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to 2 TG; planning input</t>
        </r>
      </text>
    </comment>
    <comment ref="BI4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optional; on request/planning input</t>
        </r>
      </text>
    </comment>
  </commentList>
</comments>
</file>

<file path=xl/comments3.xml><?xml version="1.0" encoding="utf-8"?>
<comments xmlns="http://schemas.openxmlformats.org/spreadsheetml/2006/main">
  <authors>
    <author>University College Maastricht</author>
    <author>Athena</author>
    <author>Nijst, Eefje (UCM)</author>
    <author>AthenaDesktop</author>
    <author>Tom Quist</author>
    <author>Vos Richard (UCM)</author>
    <author>Windows User</author>
    <author>Lennartz Tom (UCM)</author>
    <author>Richard.Vos</author>
    <author>Vos, Richard (UCM)</author>
  </authors>
  <commentList>
    <comment ref="G2" authorId="0" shapeId="0">
      <text>
        <r>
          <rPr>
            <b/>
            <sz val="8"/>
            <color indexed="81"/>
            <rFont val="Tahoma"/>
            <family val="2"/>
          </rPr>
          <t>University College Maastricht:</t>
        </r>
        <r>
          <rPr>
            <sz val="8"/>
            <color indexed="81"/>
            <rFont val="Tahoma"/>
            <family val="2"/>
          </rPr>
          <t xml:space="preserve">
ROUNDED</t>
        </r>
      </text>
    </comment>
    <comment ref="H2" authorId="1" shapeId="0">
      <text>
        <r>
          <rPr>
            <b/>
            <sz val="8"/>
            <color indexed="81"/>
            <rFont val="Tahoma"/>
            <family val="2"/>
          </rPr>
          <t>Athena:</t>
        </r>
        <r>
          <rPr>
            <sz val="8"/>
            <color indexed="81"/>
            <rFont val="Tahoma"/>
            <family val="2"/>
          </rPr>
          <t xml:space="preserve">
Aantal studenten per TG
</t>
        </r>
      </text>
    </comment>
    <comment ref="O2" authorId="0" shapeId="0">
      <text>
        <r>
          <rPr>
            <b/>
            <sz val="8"/>
            <color indexed="81"/>
            <rFont val="Tahoma"/>
            <family val="2"/>
          </rPr>
          <t>University College Maastricht:</t>
        </r>
        <r>
          <rPr>
            <sz val="8"/>
            <color indexed="81"/>
            <rFont val="Tahoma"/>
            <family val="2"/>
          </rPr>
          <t xml:space="preserve">
Aantal  tutoren te leveren door faculteit</t>
        </r>
      </text>
    </comment>
    <comment ref="P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Lonneke Bevers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Louis Boon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Susanna Carmona</t>
        </r>
      </text>
    </comment>
    <comment ref="S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Teun Dekker</t>
        </r>
      </text>
    </comment>
    <comment ref="T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Wilfred van Dellen</t>
        </r>
      </text>
    </comment>
    <comment ref="U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Cihan Erkli</t>
        </r>
      </text>
    </comment>
    <comment ref="V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Angus Foster</t>
        </r>
      </text>
    </comment>
    <comment ref="W2" authorId="3" shapeId="0">
      <text>
        <r>
          <rPr>
            <sz val="8"/>
            <color indexed="81"/>
            <rFont val="Tahoma"/>
            <family val="2"/>
          </rPr>
          <t xml:space="preserve">Wolfgang Giernalczyk </t>
        </r>
      </text>
    </comment>
    <comment ref="X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T. Griffin/PhD Jos
0,1 FTE D4 = 3.8 hrs</t>
        </r>
      </text>
    </comment>
    <comment ref="Y2" authorId="0" shapeId="0">
      <text>
        <r>
          <rPr>
            <sz val="8"/>
            <color indexed="81"/>
            <rFont val="Tahoma"/>
            <family val="2"/>
          </rPr>
          <t xml:space="preserve">Roberta Haar </t>
        </r>
      </text>
    </comment>
    <comment ref="Z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Caroline Huijts</t>
        </r>
      </text>
    </comment>
    <comment ref="AA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Kai Heidemann</t>
        </r>
      </text>
    </comment>
    <comment ref="AB2" authorId="0" shapeId="0">
      <text>
        <r>
          <rPr>
            <sz val="8"/>
            <color indexed="81"/>
            <rFont val="Tahoma"/>
            <family val="2"/>
          </rPr>
          <t xml:space="preserve">Manuela Heins </t>
        </r>
      </text>
    </comment>
    <comment ref="AC2" authorId="5" shapeId="0">
      <text>
        <r>
          <rPr>
            <b/>
            <sz val="9"/>
            <color indexed="81"/>
            <rFont val="Tahoma"/>
            <family val="2"/>
          </rPr>
          <t>Milan Kovacevic</t>
        </r>
      </text>
    </comment>
    <comment ref="AD2" authorId="6" shapeId="0">
      <text>
        <r>
          <rPr>
            <b/>
            <sz val="9"/>
            <color indexed="81"/>
            <rFont val="Tahoma"/>
            <family val="2"/>
          </rPr>
          <t>Veronica Lifrieri:</t>
        </r>
        <r>
          <rPr>
            <sz val="9"/>
            <color indexed="81"/>
            <rFont val="Tahoma"/>
            <family val="2"/>
          </rPr>
          <t xml:space="preserve">
1,0 fte aanstelling
waarvan 0,6 UCM</t>
        </r>
      </text>
    </comment>
    <comment ref="AE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Enide Maegherman
0,8 Fte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D. Melnyk/PhD TeunD. Melnyk/PhD Teun, external PhD, no teaching</t>
        </r>
      </text>
    </comment>
    <comment ref="AG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Jeroen Moes</t>
        </r>
      </text>
    </comment>
    <comment ref="AH2" authorId="1" shapeId="0">
      <text>
        <r>
          <rPr>
            <sz val="8"/>
            <color indexed="81"/>
            <rFont val="Tahoma"/>
            <family val="2"/>
          </rPr>
          <t xml:space="preserve">Ulli Mueller </t>
        </r>
      </text>
    </comment>
    <comment ref="AI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Andrew Oringer</t>
        </r>
      </text>
    </comment>
    <comment ref="AJ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Joris van Poecke</t>
        </r>
      </text>
    </comment>
    <comment ref="AK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Christoph Rausch</t>
        </r>
      </text>
    </comment>
    <comment ref="AL2" authorId="5" shapeId="0">
      <text>
        <r>
          <rPr>
            <b/>
            <sz val="9"/>
            <color indexed="81"/>
            <rFont val="Tahoma"/>
            <family val="2"/>
          </rPr>
          <t>Vos Richard (UCM):</t>
        </r>
        <r>
          <rPr>
            <sz val="9"/>
            <color indexed="81"/>
            <rFont val="Tahoma"/>
            <family val="2"/>
          </rPr>
          <t xml:space="preserve">
Inge Römgens
</t>
        </r>
      </text>
    </comment>
    <comment ref="AM2" authorId="3" shapeId="0">
      <text>
        <r>
          <rPr>
            <sz val="8"/>
            <color indexed="81"/>
            <rFont val="Tahoma"/>
            <family val="2"/>
          </rPr>
          <t>Jenny Schell 0.9 fte</t>
        </r>
      </text>
    </comment>
    <comment ref="AN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Bram Schmitz
</t>
        </r>
      </text>
    </comment>
    <comment ref="AO2" authorId="0" shapeId="0">
      <text>
        <r>
          <rPr>
            <sz val="8"/>
            <color indexed="81"/>
            <rFont val="Tahoma"/>
            <family val="2"/>
          </rPr>
          <t xml:space="preserve">Mark Stout </t>
        </r>
      </text>
    </comment>
    <comment ref="AP2" authorId="1" shapeId="0">
      <text>
        <r>
          <rPr>
            <sz val="8"/>
            <color indexed="81"/>
            <rFont val="Tahoma"/>
            <family val="2"/>
          </rPr>
          <t xml:space="preserve">Peter Vermeer 
</t>
        </r>
      </text>
    </comment>
    <comment ref="AQ2" authorId="7" shapeId="0">
      <text>
        <r>
          <rPr>
            <b/>
            <sz val="9"/>
            <color indexed="81"/>
            <rFont val="Tahoma"/>
            <family val="2"/>
          </rPr>
          <t>Lennartz Tom (UCM):</t>
        </r>
        <r>
          <rPr>
            <sz val="9"/>
            <color indexed="81"/>
            <rFont val="Tahoma"/>
            <family val="2"/>
          </rPr>
          <t xml:space="preserve">
Dave Vliegenthart</t>
        </r>
      </text>
    </comment>
    <comment ref="AR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Jos Welie 0.25 FTE</t>
        </r>
      </text>
    </comment>
    <comment ref="AS2" authorId="8" shapeId="0">
      <text>
        <r>
          <rPr>
            <sz val="8"/>
            <color indexed="81"/>
            <rFont val="Tahoma"/>
            <family val="2"/>
          </rPr>
          <t>Alice Wellum</t>
        </r>
      </text>
    </comment>
    <comment ref="AT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Catherine Yuk Ping Lo</t>
        </r>
      </text>
    </comment>
    <comment ref="AU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Joost Boswinkel</t>
        </r>
      </text>
    </comment>
    <comment ref="AV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Stephanie Blom</t>
        </r>
      </text>
    </comment>
    <comment ref="AW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Ceren Cingi</t>
        </r>
      </text>
    </comment>
    <comment ref="AX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Xenia Tigani</t>
        </r>
      </text>
    </comment>
    <comment ref="AY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Rikus van Eeden 0.8 FTE</t>
        </r>
      </text>
    </comment>
    <comment ref="AZ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Zeta Eirtree</t>
        </r>
      </text>
    </comment>
    <comment ref="BA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Clarissa Guidi</t>
        </r>
      </text>
    </comment>
    <comment ref="BB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Job Heusschen</t>
        </r>
      </text>
    </comment>
    <comment ref="BC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Waldo Heugebaert</t>
        </r>
      </text>
    </comment>
    <comment ref="BD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Judith van Lookeren</t>
        </r>
      </text>
    </comment>
    <comment ref="BE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Ilya Malafei 0.8 FTE</t>
        </r>
      </text>
    </comment>
    <comment ref="BF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Alexandra Perez Tseyen</t>
        </r>
      </text>
    </comment>
    <comment ref="BG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Sofia Vazquez Alferez</t>
        </r>
      </text>
    </comment>
    <comment ref="BH2" authorId="9" shapeId="0">
      <text>
        <r>
          <rPr>
            <b/>
            <sz val="9"/>
            <color indexed="81"/>
            <rFont val="Tahoma"/>
            <family val="2"/>
          </rPr>
          <t>Vos, Richard (UCM):</t>
        </r>
        <r>
          <rPr>
            <sz val="9"/>
            <color indexed="81"/>
            <rFont val="Tahoma"/>
            <family val="2"/>
          </rPr>
          <t xml:space="preserve">
Julia van Zijl
</t>
        </r>
      </text>
    </comment>
    <comment ref="BI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Mareike Moraal</t>
        </r>
      </text>
    </comment>
    <comment ref="BJ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K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Willian Oliveira dos Santos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online planning input</t>
        </r>
      </text>
    </comment>
    <comment ref="AS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if needed/ planning input</t>
        </r>
      </text>
    </comment>
    <comment ref="V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U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W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academic skills trajectory is option/planning input</t>
        </r>
      </text>
    </comment>
    <comment ref="BD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AE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G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W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academic skills trajectory is option/planning input</t>
        </r>
      </text>
    </comment>
    <comment ref="BG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J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X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D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1TG planning input</t>
        </r>
      </text>
    </comment>
    <comment ref="AS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W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Too high level for OBP</t>
        </r>
      </text>
    </comment>
    <comment ref="BB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C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U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input planning meeting</t>
        </r>
      </text>
    </comment>
    <comment ref="X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O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new project Internationally taught/ if more needed/ planning input</t>
        </r>
      </text>
    </comment>
    <comment ref="AR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debate OR 1 Deep reading</t>
        </r>
      </text>
    </comment>
    <comment ref="AW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too high lelvel for OBP</t>
        </r>
      </text>
    </comment>
    <comment ref="BB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G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Q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in case needed, on request. </t>
        </r>
      </text>
    </comment>
    <comment ref="S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P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R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Deep Reading OR 1 Debater</t>
        </r>
      </text>
    </comment>
    <comment ref="BC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A1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innput</t>
        </r>
      </text>
    </comment>
    <comment ref="T1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O1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P1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Back up</t>
        </r>
      </text>
    </comment>
    <comment ref="T1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U1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input planning meeting</t>
        </r>
      </text>
    </comment>
    <comment ref="AL1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H1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TG's planning input</t>
        </r>
      </text>
    </comment>
    <comment ref="BJ1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L1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O1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Levin Stein has an interest in teaching this project</t>
        </r>
      </text>
    </comment>
    <comment ref="AR1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 / planning input/ if more than 2 grpups add tutor pref. Tricia</t>
        </r>
      </text>
    </comment>
    <comment ref="BB1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Preference/ planning input</t>
        </r>
      </text>
    </comment>
    <comment ref="AM1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G1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K1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</commentList>
</comments>
</file>

<file path=xl/comments4.xml><?xml version="1.0" encoding="utf-8"?>
<comments xmlns="http://schemas.openxmlformats.org/spreadsheetml/2006/main">
  <authors>
    <author>University College Maastricht</author>
    <author>Athena</author>
    <author>Nijst, Eefje (UCM)</author>
    <author>AthenaDesktop</author>
    <author>Tom Quist</author>
    <author>Vos Richard (UCM)</author>
    <author>Lennartz Tom (UCM)</author>
    <author>Richard.Vos</author>
    <author>Dekker Teun (UCM)</author>
  </authors>
  <commentList>
    <comment ref="G2" authorId="0" shapeId="0">
      <text>
        <r>
          <rPr>
            <b/>
            <sz val="8"/>
            <color indexed="81"/>
            <rFont val="Tahoma"/>
            <family val="2"/>
          </rPr>
          <t>University College Maastricht:</t>
        </r>
        <r>
          <rPr>
            <sz val="8"/>
            <color indexed="81"/>
            <rFont val="Tahoma"/>
            <family val="2"/>
          </rPr>
          <t xml:space="preserve">
ROUNDED</t>
        </r>
      </text>
    </comment>
    <comment ref="H2" authorId="1" shapeId="0">
      <text>
        <r>
          <rPr>
            <b/>
            <sz val="8"/>
            <color indexed="81"/>
            <rFont val="Tahoma"/>
            <family val="2"/>
          </rPr>
          <t>Athena:</t>
        </r>
        <r>
          <rPr>
            <sz val="8"/>
            <color indexed="81"/>
            <rFont val="Tahoma"/>
            <family val="2"/>
          </rPr>
          <t xml:space="preserve">
Aantal studenten per TG
</t>
        </r>
      </text>
    </comment>
    <comment ref="P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Lonneke Bevers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Louis Boon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Susanna Carmona</t>
        </r>
      </text>
    </comment>
    <comment ref="S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Teun Dekker</t>
        </r>
      </text>
    </comment>
    <comment ref="T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Wilfred van Dellen</t>
        </r>
      </text>
    </comment>
    <comment ref="U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Cihan Erkli</t>
        </r>
      </text>
    </comment>
    <comment ref="V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Angus Foster</t>
        </r>
      </text>
    </comment>
    <comment ref="W2" authorId="3" shapeId="0">
      <text>
        <r>
          <rPr>
            <sz val="8"/>
            <color indexed="81"/>
            <rFont val="Tahoma"/>
            <family val="2"/>
          </rPr>
          <t xml:space="preserve">Wolfgang Giernalczyk </t>
        </r>
      </text>
    </comment>
    <comment ref="X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T. Griffin/PhD Jos
0,1 FTE D4 = 3.8 hrs</t>
        </r>
      </text>
    </comment>
    <comment ref="Y2" authorId="0" shapeId="0">
      <text>
        <r>
          <rPr>
            <sz val="8"/>
            <color indexed="81"/>
            <rFont val="Tahoma"/>
            <family val="2"/>
          </rPr>
          <t xml:space="preserve">Roberta Haar </t>
        </r>
      </text>
    </comment>
    <comment ref="Z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Caroline Huijts</t>
        </r>
      </text>
    </comment>
    <comment ref="AA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Kai Heidemann</t>
        </r>
      </text>
    </comment>
    <comment ref="AB2" authorId="0" shapeId="0">
      <text>
        <r>
          <rPr>
            <sz val="8"/>
            <color indexed="81"/>
            <rFont val="Tahoma"/>
            <family val="2"/>
          </rPr>
          <t xml:space="preserve">Manuela Heins </t>
        </r>
      </text>
    </comment>
    <comment ref="AC2" authorId="5" shapeId="0">
      <text>
        <r>
          <rPr>
            <b/>
            <sz val="9"/>
            <color indexed="81"/>
            <rFont val="Tahoma"/>
            <family val="2"/>
          </rPr>
          <t>Milan Kovacevic</t>
        </r>
      </text>
    </comment>
    <comment ref="AD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Veronica Lifrieri 0.6 fte</t>
        </r>
      </text>
    </comment>
    <comment ref="AE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Enide Maegherman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D. Melnyk/PhD TeunD. Melnyk/PhD Teun, external PhD, no teaching</t>
        </r>
      </text>
    </comment>
    <comment ref="AG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Jeroen Moes</t>
        </r>
      </text>
    </comment>
    <comment ref="AH2" authorId="1" shapeId="0">
      <text>
        <r>
          <rPr>
            <sz val="8"/>
            <color indexed="81"/>
            <rFont val="Tahoma"/>
            <family val="2"/>
          </rPr>
          <t xml:space="preserve">Ulli Mueller </t>
        </r>
      </text>
    </comment>
    <comment ref="AI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Andrew Oringer</t>
        </r>
      </text>
    </comment>
    <comment ref="AJ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Joris van Poecke</t>
        </r>
      </text>
    </comment>
    <comment ref="AK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Christoph Rausch</t>
        </r>
      </text>
    </comment>
    <comment ref="AL2" authorId="5" shapeId="0">
      <text>
        <r>
          <rPr>
            <b/>
            <sz val="9"/>
            <color indexed="81"/>
            <rFont val="Tahoma"/>
            <family val="2"/>
          </rPr>
          <t>Vos Richard (UCM):</t>
        </r>
        <r>
          <rPr>
            <sz val="9"/>
            <color indexed="81"/>
            <rFont val="Tahoma"/>
            <family val="2"/>
          </rPr>
          <t xml:space="preserve">
Inge Römgens
</t>
        </r>
      </text>
    </comment>
    <comment ref="AM2" authorId="3" shapeId="0">
      <text>
        <r>
          <rPr>
            <sz val="8"/>
            <color indexed="81"/>
            <rFont val="Tahoma"/>
            <family val="2"/>
          </rPr>
          <t>Jenny Schell 0.9 fte</t>
        </r>
      </text>
    </comment>
    <comment ref="AN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Bram Schmitz
</t>
        </r>
      </text>
    </comment>
    <comment ref="AO2" authorId="0" shapeId="0">
      <text>
        <r>
          <rPr>
            <sz val="8"/>
            <color indexed="81"/>
            <rFont val="Tahoma"/>
            <family val="2"/>
          </rPr>
          <t xml:space="preserve">Mark Stout </t>
        </r>
      </text>
    </comment>
    <comment ref="AP2" authorId="1" shapeId="0">
      <text>
        <r>
          <rPr>
            <sz val="8"/>
            <color indexed="81"/>
            <rFont val="Tahoma"/>
            <family val="2"/>
          </rPr>
          <t xml:space="preserve">Peter Vermeer 
</t>
        </r>
      </text>
    </comment>
    <comment ref="AQ2" authorId="6" shapeId="0">
      <text>
        <r>
          <rPr>
            <b/>
            <sz val="9"/>
            <color indexed="81"/>
            <rFont val="Tahoma"/>
            <family val="2"/>
          </rPr>
          <t>Lennartz Tom (UCM):</t>
        </r>
        <r>
          <rPr>
            <sz val="9"/>
            <color indexed="81"/>
            <rFont val="Tahoma"/>
            <family val="2"/>
          </rPr>
          <t xml:space="preserve">
Dave Vliegenthart</t>
        </r>
      </text>
    </comment>
    <comment ref="AR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Jos Welie 0.25 FTE</t>
        </r>
      </text>
    </comment>
    <comment ref="AS2" authorId="7" shapeId="0">
      <text>
        <r>
          <rPr>
            <sz val="8"/>
            <color indexed="81"/>
            <rFont val="Tahoma"/>
            <family val="2"/>
          </rPr>
          <t>Alice Wellum</t>
        </r>
      </text>
    </comment>
    <comment ref="AT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Catherine Yuk Ping Lo</t>
        </r>
      </text>
    </comment>
    <comment ref="AU2" authorId="2" shapeId="0">
      <text>
        <r>
          <rPr>
            <b/>
            <sz val="9"/>
            <color indexed="81"/>
            <rFont val="Tahoma"/>
            <family val="2"/>
          </rPr>
          <t>Nijst, Eefje (UCM):
Joost Boswinkel</t>
        </r>
      </text>
    </comment>
    <comment ref="AV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Stephanie Blom</t>
        </r>
      </text>
    </comment>
    <comment ref="AW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Ceren Gingi</t>
        </r>
      </text>
    </comment>
    <comment ref="AX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Xenia Tigani</t>
        </r>
      </text>
    </comment>
    <comment ref="AY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Rikus van Eeden 0.8 FTE</t>
        </r>
      </text>
    </comment>
    <comment ref="AZ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Waldo Heugebaert</t>
        </r>
      </text>
    </comment>
    <comment ref="BA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Clarissa Guidi</t>
        </r>
      </text>
    </comment>
    <comment ref="BB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Job Heusschen</t>
        </r>
      </text>
    </comment>
    <comment ref="BC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Waldo Heugebaert</t>
        </r>
      </text>
    </comment>
    <comment ref="BD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Judith van Lookeren</t>
        </r>
      </text>
    </comment>
    <comment ref="BE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Ilya Malafei 0.8 FTE</t>
        </r>
      </text>
    </comment>
    <comment ref="BF2" authorId="8" shapeId="0">
      <text>
        <r>
          <rPr>
            <b/>
            <sz val="9"/>
            <color indexed="81"/>
            <rFont val="Tahoma"/>
            <family val="2"/>
          </rPr>
          <t>Alexandra Perez Tseyen</t>
        </r>
      </text>
    </comment>
    <comment ref="BG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Wouter Stoop</t>
        </r>
      </text>
    </comment>
    <comment ref="BH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Kai Koenemann</t>
        </r>
      </text>
    </comment>
    <comment ref="BI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Mareike Moraal</t>
        </r>
      </text>
    </comment>
    <comment ref="BJ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Julia van Zijl</t>
        </r>
      </text>
    </comment>
    <comment ref="R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1TG planning input</t>
        </r>
      </text>
    </comment>
    <comment ref="V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X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Y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Ask if needed; planning input</t>
        </r>
      </text>
    </comment>
    <comment ref="AA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 1 TG</t>
        </r>
      </text>
    </comment>
    <comment ref="AE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G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if needed; planning input</t>
        </r>
      </text>
    </comment>
    <comment ref="AK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P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 request if needed/ planninig input</t>
        </r>
      </text>
    </comment>
    <comment ref="AR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 request/ planning meeting</t>
        </r>
      </text>
    </comment>
    <comment ref="AS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if needed/ planning iinput</t>
        </r>
      </text>
    </comment>
    <comment ref="AT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V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O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TG/ planning input</t>
        </r>
      </text>
    </comment>
    <comment ref="AZ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X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U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X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B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AK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TG's planning input</t>
        </r>
      </text>
    </comment>
    <comment ref="BD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1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V1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1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optional/ he talked to Lonneke as well</t>
        </r>
      </text>
    </comment>
    <comment ref="P1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TG/ planning input/ co-coordination Patrick Aarts</t>
        </r>
      </text>
    </comment>
    <comment ref="O2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O2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AN2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Bram indicated his preference for this course</t>
        </r>
      </text>
    </comment>
    <comment ref="O2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O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AE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G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U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X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C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rather not/planning input</t>
        </r>
      </text>
    </comment>
    <comment ref="BH2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V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2TG planning input</t>
        </r>
      </text>
    </comment>
    <comment ref="AC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TG's planning input</t>
        </r>
      </text>
    </comment>
    <comment ref="AS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onlly co-coordination no teaching/ planning input</t>
        </r>
      </text>
    </comment>
    <comment ref="BD2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U3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Q3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Z3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C3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D3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input; if needed</t>
        </r>
      </text>
    </comment>
    <comment ref="BG3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 request; rather not/planning input</t>
        </r>
      </text>
    </comment>
    <comment ref="AH3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All TG's planning input</t>
        </r>
      </text>
    </comment>
    <comment ref="O3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BB3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3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Z3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in case needed, reach out to Caroline</t>
        </r>
      </text>
    </comment>
    <comment ref="S4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 planning input</t>
        </r>
      </text>
    </comment>
    <comment ref="AA4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TG's planning input</t>
        </r>
      </text>
    </comment>
    <comment ref="R4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TG's planning input</t>
        </r>
      </text>
    </comment>
    <comment ref="U5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Y5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P5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 request available/ likes to the course/ planning input</t>
        </r>
      </text>
    </comment>
    <comment ref="AD5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TG's planning input</t>
        </r>
      </text>
    </comment>
    <comment ref="AT5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 3 TG's</t>
        </r>
      </text>
    </comment>
    <comment ref="AA5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G5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T5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T5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G5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K5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M5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</commentList>
</comments>
</file>

<file path=xl/comments5.xml><?xml version="1.0" encoding="utf-8"?>
<comments xmlns="http://schemas.openxmlformats.org/spreadsheetml/2006/main">
  <authors>
    <author>University College Maastricht</author>
    <author>Athena</author>
    <author>Nijst, Eefje (UCM)</author>
    <author>AthenaDesktop</author>
    <author>Tom Quist</author>
    <author>Vos Richard (UCM)</author>
    <author>Windows User</author>
    <author>Lennartz Tom (UCM)</author>
    <author>Richard.Vos</author>
    <author>Dekker Teun (UCM)</author>
    <author>Vos, Richard (UCM)</author>
  </authors>
  <commentList>
    <comment ref="G2" authorId="0" shapeId="0">
      <text>
        <r>
          <rPr>
            <b/>
            <sz val="8"/>
            <color indexed="81"/>
            <rFont val="Tahoma"/>
            <family val="2"/>
          </rPr>
          <t>University College Maastricht:</t>
        </r>
        <r>
          <rPr>
            <sz val="8"/>
            <color indexed="81"/>
            <rFont val="Tahoma"/>
            <family val="2"/>
          </rPr>
          <t xml:space="preserve">
ROUNDED</t>
        </r>
      </text>
    </comment>
    <comment ref="H2" authorId="1" shapeId="0">
      <text>
        <r>
          <rPr>
            <b/>
            <sz val="8"/>
            <color indexed="81"/>
            <rFont val="Tahoma"/>
            <family val="2"/>
          </rPr>
          <t>Athena:</t>
        </r>
        <r>
          <rPr>
            <sz val="8"/>
            <color indexed="81"/>
            <rFont val="Tahoma"/>
            <family val="2"/>
          </rPr>
          <t xml:space="preserve">
Aantal studenten per TG
</t>
        </r>
      </text>
    </comment>
    <comment ref="P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Lonneke Bevers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Louis Boon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Susanna Carmona</t>
        </r>
      </text>
    </comment>
    <comment ref="S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Teun Dekker</t>
        </r>
      </text>
    </comment>
    <comment ref="T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Wilfred van Dellen</t>
        </r>
      </text>
    </comment>
    <comment ref="U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Cihan Erkli</t>
        </r>
      </text>
    </comment>
    <comment ref="V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Angus Foster</t>
        </r>
      </text>
    </comment>
    <comment ref="W2" authorId="3" shapeId="0">
      <text>
        <r>
          <rPr>
            <sz val="8"/>
            <color indexed="81"/>
            <rFont val="Tahoma"/>
            <family val="2"/>
          </rPr>
          <t xml:space="preserve">Wolfgang Giernalczyk </t>
        </r>
      </text>
    </comment>
    <comment ref="X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T. Griffin/PhD Jos
0,1 FTE D4 = 3.8 hrs</t>
        </r>
      </text>
    </comment>
    <comment ref="Y2" authorId="0" shapeId="0">
      <text>
        <r>
          <rPr>
            <sz val="8"/>
            <color indexed="81"/>
            <rFont val="Tahoma"/>
            <family val="2"/>
          </rPr>
          <t xml:space="preserve">Roberta Haar </t>
        </r>
      </text>
    </comment>
    <comment ref="Z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Caroline Huijts</t>
        </r>
      </text>
    </comment>
    <comment ref="AA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Kai Heidemann</t>
        </r>
      </text>
    </comment>
    <comment ref="AB2" authorId="0" shapeId="0">
      <text>
        <r>
          <rPr>
            <sz val="8"/>
            <color indexed="81"/>
            <rFont val="Tahoma"/>
            <family val="2"/>
          </rPr>
          <t xml:space="preserve">Manuela Heins </t>
        </r>
      </text>
    </comment>
    <comment ref="AC2" authorId="5" shapeId="0">
      <text>
        <r>
          <rPr>
            <b/>
            <sz val="9"/>
            <color indexed="81"/>
            <rFont val="Tahoma"/>
            <family val="2"/>
          </rPr>
          <t>Milan Kovacevic</t>
        </r>
      </text>
    </comment>
    <comment ref="AD2" authorId="6" shapeId="0">
      <text>
        <r>
          <rPr>
            <b/>
            <sz val="9"/>
            <color indexed="81"/>
            <rFont val="Tahoma"/>
            <family val="2"/>
          </rPr>
          <t>Veronica Lifrieri:</t>
        </r>
        <r>
          <rPr>
            <sz val="9"/>
            <color indexed="81"/>
            <rFont val="Tahoma"/>
            <family val="2"/>
          </rPr>
          <t xml:space="preserve">
1,0 fte aanstelling
waarvan 0,6 UCM</t>
        </r>
      </text>
    </comment>
    <comment ref="AE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Enide Maegherman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D. Melnyk/PhD TeunD. Melnyk/PhD Teun, external PhD, no teaching</t>
        </r>
      </text>
    </comment>
    <comment ref="AG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Jeroen Moes</t>
        </r>
      </text>
    </comment>
    <comment ref="AH2" authorId="1" shapeId="0">
      <text>
        <r>
          <rPr>
            <sz val="8"/>
            <color indexed="81"/>
            <rFont val="Tahoma"/>
            <family val="2"/>
          </rPr>
          <t xml:space="preserve">Ulli Mueller </t>
        </r>
      </text>
    </comment>
    <comment ref="AI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Andrew Oringer</t>
        </r>
      </text>
    </comment>
    <comment ref="AJ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Joris van Poecke</t>
        </r>
      </text>
    </comment>
    <comment ref="AK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Christoph Rausch</t>
        </r>
      </text>
    </comment>
    <comment ref="AL2" authorId="5" shapeId="0">
      <text>
        <r>
          <rPr>
            <b/>
            <sz val="9"/>
            <color indexed="81"/>
            <rFont val="Tahoma"/>
            <family val="2"/>
          </rPr>
          <t>Vos Richard (UCM):</t>
        </r>
        <r>
          <rPr>
            <sz val="9"/>
            <color indexed="81"/>
            <rFont val="Tahoma"/>
            <family val="2"/>
          </rPr>
          <t xml:space="preserve">
Inge Römgens
</t>
        </r>
      </text>
    </comment>
    <comment ref="AM2" authorId="3" shapeId="0">
      <text>
        <r>
          <rPr>
            <sz val="8"/>
            <color indexed="81"/>
            <rFont val="Tahoma"/>
            <family val="2"/>
          </rPr>
          <t>Jenny Schell 0.9 fte</t>
        </r>
      </text>
    </comment>
    <comment ref="AN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Bram Schmitz
</t>
        </r>
      </text>
    </comment>
    <comment ref="AO2" authorId="0" shapeId="0">
      <text>
        <r>
          <rPr>
            <sz val="8"/>
            <color indexed="81"/>
            <rFont val="Tahoma"/>
            <family val="2"/>
          </rPr>
          <t xml:space="preserve">Mark Stout </t>
        </r>
      </text>
    </comment>
    <comment ref="AP2" authorId="1" shapeId="0">
      <text>
        <r>
          <rPr>
            <sz val="8"/>
            <color indexed="81"/>
            <rFont val="Tahoma"/>
            <family val="2"/>
          </rPr>
          <t xml:space="preserve">Peter Vermeer 
</t>
        </r>
      </text>
    </comment>
    <comment ref="AQ2" authorId="7" shapeId="0">
      <text>
        <r>
          <rPr>
            <b/>
            <sz val="9"/>
            <color indexed="81"/>
            <rFont val="Tahoma"/>
            <family val="2"/>
          </rPr>
          <t>Lennartz Tom (UCM):</t>
        </r>
        <r>
          <rPr>
            <sz val="9"/>
            <color indexed="81"/>
            <rFont val="Tahoma"/>
            <family val="2"/>
          </rPr>
          <t xml:space="preserve">
Dave Vliegenthart</t>
        </r>
      </text>
    </comment>
    <comment ref="AR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Jos Welie 0.25 FTE
</t>
        </r>
      </text>
    </comment>
    <comment ref="AS2" authorId="8" shapeId="0">
      <text>
        <r>
          <rPr>
            <sz val="8"/>
            <color indexed="81"/>
            <rFont val="Tahoma"/>
            <family val="2"/>
          </rPr>
          <t>Alice Wellum</t>
        </r>
      </text>
    </comment>
    <comment ref="AT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Catherine Yuk Ping Lo</t>
        </r>
      </text>
    </comment>
    <comment ref="AU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Joost Boswinkel</t>
        </r>
      </text>
    </comment>
    <comment ref="AV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Stephanie Blom</t>
        </r>
      </text>
    </comment>
    <comment ref="AW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Ceren Cingi</t>
        </r>
      </text>
    </comment>
    <comment ref="AX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Xenia Tigani</t>
        </r>
      </text>
    </comment>
    <comment ref="AY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Rikus van Eeden 0.8 FTE</t>
        </r>
      </text>
    </comment>
    <comment ref="AZ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Zeta Eirtree</t>
        </r>
      </text>
    </comment>
    <comment ref="BA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Clarissa Guidi</t>
        </r>
      </text>
    </comment>
    <comment ref="BB2" authorId="9" shapeId="0">
      <text>
        <r>
          <rPr>
            <b/>
            <sz val="9"/>
            <color indexed="81"/>
            <rFont val="Tahoma"/>
            <family val="2"/>
          </rPr>
          <t>Job Heusschen</t>
        </r>
      </text>
    </comment>
    <comment ref="BC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Waldo Heugebaert</t>
        </r>
      </text>
    </comment>
    <comment ref="BD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Judith van Lookeren</t>
        </r>
      </text>
    </comment>
    <comment ref="BE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Ilya Malafei 0.8 FTE</t>
        </r>
      </text>
    </comment>
    <comment ref="BF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Alexandra Perez Tseyeb</t>
        </r>
      </text>
    </comment>
    <comment ref="BG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Wouter Stoop</t>
        </r>
      </text>
    </comment>
    <comment ref="BH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Kai Koenemann</t>
        </r>
      </text>
    </comment>
    <comment ref="BI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Mareike Moraal </t>
        </r>
      </text>
    </comment>
    <comment ref="BJ2" authorId="10" shapeId="0">
      <text>
        <r>
          <rPr>
            <b/>
            <sz val="9"/>
            <color indexed="81"/>
            <rFont val="Tahoma"/>
            <family val="2"/>
          </rPr>
          <t>Vos, Richard (UCM):</t>
        </r>
        <r>
          <rPr>
            <sz val="9"/>
            <color indexed="81"/>
            <rFont val="Tahoma"/>
            <family val="2"/>
          </rPr>
          <t xml:space="preserve">
Julia van Zijl
</t>
        </r>
      </text>
    </comment>
    <comment ref="BK2" authorId="9" shapeId="0">
      <text>
        <r>
          <rPr>
            <b/>
            <sz val="9"/>
            <color indexed="81"/>
            <rFont val="Tahoma"/>
            <family val="2"/>
          </rPr>
          <t>Willian Oliviera dos Santos
0,5 fte</t>
        </r>
      </text>
    </comment>
    <comment ref="P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Back up</t>
        </r>
      </text>
    </comment>
    <comment ref="R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1TG planning input</t>
        </r>
      </text>
    </comment>
    <comment ref="U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V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X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E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G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if needed; planning input</t>
        </r>
      </text>
    </comment>
    <comment ref="AH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K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O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P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 request/ planning input</t>
        </r>
      </text>
    </comment>
    <comment ref="AQ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R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 request /planning meeting</t>
        </r>
      </text>
    </comment>
    <comment ref="AS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if needed/ planning input</t>
        </r>
      </text>
    </comment>
    <comment ref="AT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O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X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P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Max 1 TG/ planning input</t>
        </r>
      </text>
    </comment>
    <comment ref="AU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W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PoS preference</t>
        </r>
      </text>
    </comment>
    <comment ref="BB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C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D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BJ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S1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2TG planning input</t>
        </r>
      </text>
    </comment>
    <comment ref="AN19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Bram indicated his preference for this course</t>
        </r>
      </text>
    </comment>
    <comment ref="AE2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G2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1TG planning input</t>
        </r>
      </text>
    </comment>
    <comment ref="AU2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W2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C2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rather not/ planning input</t>
        </r>
      </text>
    </comment>
    <comment ref="BK2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V2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X2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S2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no teaching/ planning input</t>
        </r>
      </text>
    </comment>
    <comment ref="BD2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J23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D2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4 TG's planning input</t>
        </r>
      </text>
    </comment>
    <comment ref="AO2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no TG/ planning input</t>
        </r>
      </text>
    </comment>
    <comment ref="BB2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V2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S2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2-3 TG's/ planning input</t>
        </r>
      </text>
    </comment>
    <comment ref="BG3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J3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input/ law faculty courses are also a go</t>
        </r>
      </text>
    </comment>
    <comment ref="AW3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Too high level OBP?</t>
        </r>
      </text>
    </comment>
    <comment ref="AE3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H3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K4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TG's planning input</t>
        </r>
      </text>
    </comment>
    <comment ref="U4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Y4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V4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H4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TG's planning input</t>
        </r>
      </text>
    </comment>
    <comment ref="BD4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Identities &amp; cultural studies preference</t>
        </r>
      </text>
    </comment>
    <comment ref="BJ4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input/ law faculty courses are also a go</t>
        </r>
      </text>
    </comment>
    <comment ref="AT5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2 TG planning input</t>
        </r>
      </text>
    </comment>
    <comment ref="R51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3TG planning input</t>
        </r>
      </text>
    </comment>
  </commentList>
</comments>
</file>

<file path=xl/comments6.xml><?xml version="1.0" encoding="utf-8"?>
<comments xmlns="http://schemas.openxmlformats.org/spreadsheetml/2006/main">
  <authors>
    <author>University College Maastricht</author>
    <author>Athena</author>
    <author>Nijst, Eefje (UCM)</author>
    <author>AthenaDesktop</author>
    <author>Tom Quist</author>
    <author>Vos Richard (UCM)</author>
    <author>Windows User</author>
    <author>Lennartz Tom (UCM)</author>
    <author>Richard.Vos</author>
    <author>Dekker Teun (UCM)</author>
    <author>Vos, Richard (UCM)</author>
  </authors>
  <commentList>
    <comment ref="G2" authorId="0" shapeId="0">
      <text>
        <r>
          <rPr>
            <b/>
            <sz val="8"/>
            <color indexed="81"/>
            <rFont val="Tahoma"/>
            <family val="2"/>
          </rPr>
          <t>University College Maastricht:</t>
        </r>
        <r>
          <rPr>
            <sz val="8"/>
            <color indexed="81"/>
            <rFont val="Tahoma"/>
            <family val="2"/>
          </rPr>
          <t xml:space="preserve">
ROUNDED</t>
        </r>
      </text>
    </comment>
    <comment ref="H2" authorId="1" shapeId="0">
      <text>
        <r>
          <rPr>
            <b/>
            <sz val="8"/>
            <color indexed="81"/>
            <rFont val="Tahoma"/>
            <family val="2"/>
          </rPr>
          <t>Athena:</t>
        </r>
        <r>
          <rPr>
            <sz val="8"/>
            <color indexed="81"/>
            <rFont val="Tahoma"/>
            <family val="2"/>
          </rPr>
          <t xml:space="preserve">
Aantal studenten per TG
</t>
        </r>
      </text>
    </comment>
    <comment ref="P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Lonneke Bevers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Louis Boon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Susanna Carmona</t>
        </r>
      </text>
    </comment>
    <comment ref="S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Teun Dekker</t>
        </r>
      </text>
    </comment>
    <comment ref="T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Wilfred van Dellen</t>
        </r>
      </text>
    </comment>
    <comment ref="U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Cihan Erkli</t>
        </r>
      </text>
    </comment>
    <comment ref="V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Angus Foster</t>
        </r>
      </text>
    </comment>
    <comment ref="W2" authorId="3" shapeId="0">
      <text>
        <r>
          <rPr>
            <sz val="8"/>
            <color indexed="81"/>
            <rFont val="Tahoma"/>
            <family val="2"/>
          </rPr>
          <t xml:space="preserve">Wolfgang Giernalczyk </t>
        </r>
      </text>
    </comment>
    <comment ref="X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T. Griffin/PhD Jos
0,1 FTE D4 = 3.8 hrs</t>
        </r>
      </text>
    </comment>
    <comment ref="Y2" authorId="0" shapeId="0">
      <text>
        <r>
          <rPr>
            <sz val="8"/>
            <color indexed="81"/>
            <rFont val="Tahoma"/>
            <family val="2"/>
          </rPr>
          <t xml:space="preserve">Roberta Haar </t>
        </r>
      </text>
    </comment>
    <comment ref="Z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Caroline Huijts</t>
        </r>
      </text>
    </comment>
    <comment ref="AA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Kai Heidemann</t>
        </r>
      </text>
    </comment>
    <comment ref="AB2" authorId="0" shapeId="0">
      <text>
        <r>
          <rPr>
            <sz val="8"/>
            <color indexed="81"/>
            <rFont val="Tahoma"/>
            <family val="2"/>
          </rPr>
          <t xml:space="preserve">Manuela Heins </t>
        </r>
      </text>
    </comment>
    <comment ref="AC2" authorId="5" shapeId="0">
      <text>
        <r>
          <rPr>
            <b/>
            <sz val="9"/>
            <color indexed="81"/>
            <rFont val="Tahoma"/>
            <family val="2"/>
          </rPr>
          <t>Milan Kovacevic</t>
        </r>
      </text>
    </comment>
    <comment ref="AD2" authorId="6" shapeId="0">
      <text>
        <r>
          <rPr>
            <b/>
            <sz val="9"/>
            <color indexed="81"/>
            <rFont val="Tahoma"/>
            <family val="2"/>
          </rPr>
          <t>Veronica Lifrieri:</t>
        </r>
        <r>
          <rPr>
            <sz val="9"/>
            <color indexed="81"/>
            <rFont val="Tahoma"/>
            <family val="2"/>
          </rPr>
          <t xml:space="preserve">
1,0 fte aanstelling
waarvan 0,6 UCM</t>
        </r>
      </text>
    </comment>
    <comment ref="AE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Enide Maegherman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D. Melnyk/PhD TeunD. Melnyk/PhD Teun, external PhD, no teaching</t>
        </r>
      </text>
    </comment>
    <comment ref="AG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Jeroen Moes</t>
        </r>
      </text>
    </comment>
    <comment ref="AH2" authorId="1" shapeId="0">
      <text>
        <r>
          <rPr>
            <sz val="8"/>
            <color indexed="81"/>
            <rFont val="Tahoma"/>
            <family val="2"/>
          </rPr>
          <t xml:space="preserve">Ulli Mueller </t>
        </r>
      </text>
    </comment>
    <comment ref="AI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Andrew Oringer</t>
        </r>
      </text>
    </comment>
    <comment ref="AJ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Joris van Poecke</t>
        </r>
      </text>
    </comment>
    <comment ref="AK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Christoph Rausch</t>
        </r>
      </text>
    </comment>
    <comment ref="AL2" authorId="5" shapeId="0">
      <text>
        <r>
          <rPr>
            <b/>
            <sz val="9"/>
            <color indexed="81"/>
            <rFont val="Tahoma"/>
            <family val="2"/>
          </rPr>
          <t>Vos Richard (UCM):</t>
        </r>
        <r>
          <rPr>
            <sz val="9"/>
            <color indexed="81"/>
            <rFont val="Tahoma"/>
            <family val="2"/>
          </rPr>
          <t xml:space="preserve">
Inge Römgens
</t>
        </r>
      </text>
    </comment>
    <comment ref="AM2" authorId="3" shapeId="0">
      <text>
        <r>
          <rPr>
            <sz val="8"/>
            <color indexed="81"/>
            <rFont val="Tahoma"/>
            <family val="2"/>
          </rPr>
          <t>Jenny Schell 0.9 fte</t>
        </r>
      </text>
    </comment>
    <comment ref="AN2" authorId="4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Bram Schmitz
</t>
        </r>
      </text>
    </comment>
    <comment ref="AO2" authorId="0" shapeId="0">
      <text>
        <r>
          <rPr>
            <sz val="8"/>
            <color indexed="81"/>
            <rFont val="Tahoma"/>
            <family val="2"/>
          </rPr>
          <t xml:space="preserve">Mark Stout </t>
        </r>
      </text>
    </comment>
    <comment ref="AP2" authorId="1" shapeId="0">
      <text>
        <r>
          <rPr>
            <sz val="8"/>
            <color indexed="81"/>
            <rFont val="Tahoma"/>
            <family val="2"/>
          </rPr>
          <t xml:space="preserve">Peter Vermeer 
</t>
        </r>
      </text>
    </comment>
    <comment ref="AQ2" authorId="7" shapeId="0">
      <text>
        <r>
          <rPr>
            <b/>
            <sz val="9"/>
            <color indexed="81"/>
            <rFont val="Tahoma"/>
            <family val="2"/>
          </rPr>
          <t>Lennartz Tom (UCM):</t>
        </r>
        <r>
          <rPr>
            <sz val="9"/>
            <color indexed="81"/>
            <rFont val="Tahoma"/>
            <family val="2"/>
          </rPr>
          <t xml:space="preserve">
Dave Vliegenthart</t>
        </r>
      </text>
    </comment>
    <comment ref="AR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Jos Welie 0.25 FTE</t>
        </r>
      </text>
    </comment>
    <comment ref="AS2" authorId="8" shapeId="0">
      <text>
        <r>
          <rPr>
            <sz val="8"/>
            <color indexed="81"/>
            <rFont val="Tahoma"/>
            <family val="2"/>
          </rPr>
          <t>Alice Wellum</t>
        </r>
      </text>
    </comment>
    <comment ref="AT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Catherine Yuk Ping Lo</t>
        </r>
      </text>
    </comment>
    <comment ref="AU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Joost Boswinkel</t>
        </r>
      </text>
    </comment>
    <comment ref="AV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Stephanie Blom</t>
        </r>
      </text>
    </comment>
    <comment ref="AW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Ceren Cingi</t>
        </r>
      </text>
    </comment>
    <comment ref="AX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Xenia Tigani</t>
        </r>
      </text>
    </comment>
    <comment ref="AY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Rikus van Eeden 0.8 FTE</t>
        </r>
      </text>
    </comment>
    <comment ref="AZ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Zeta Eirtree</t>
        </r>
      </text>
    </comment>
    <comment ref="BA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Clarissa Guidi</t>
        </r>
      </text>
    </comment>
    <comment ref="BB2" authorId="9" shapeId="0">
      <text>
        <r>
          <rPr>
            <b/>
            <sz val="9"/>
            <color indexed="81"/>
            <rFont val="Tahoma"/>
            <family val="2"/>
          </rPr>
          <t>Job Heusschen</t>
        </r>
      </text>
    </comment>
    <comment ref="BC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Zeta Eirtree</t>
        </r>
      </text>
    </comment>
    <comment ref="BD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Carol Kerolos</t>
        </r>
      </text>
    </comment>
    <comment ref="BE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Ilya Malafei 0.8 FTE</t>
        </r>
      </text>
    </comment>
    <comment ref="BF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Alexandra Perez Tseyen</t>
        </r>
      </text>
    </comment>
    <comment ref="BG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Wouter Stoop</t>
        </r>
      </text>
    </comment>
    <comment ref="BH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Kai Koenemann</t>
        </r>
      </text>
    </comment>
    <comment ref="BI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Mareike Moraal</t>
        </r>
      </text>
    </comment>
    <comment ref="BJ2" authorId="10" shapeId="0">
      <text>
        <r>
          <rPr>
            <b/>
            <sz val="9"/>
            <color indexed="81"/>
            <rFont val="Tahoma"/>
            <family val="2"/>
          </rPr>
          <t>Vos, Richard (UCM):</t>
        </r>
        <r>
          <rPr>
            <sz val="9"/>
            <color indexed="81"/>
            <rFont val="Tahoma"/>
            <family val="2"/>
          </rPr>
          <t xml:space="preserve">
Julia van Zijl
</t>
        </r>
      </text>
    </comment>
    <comment ref="BK2" authorId="9" shapeId="0">
      <text>
        <r>
          <rPr>
            <b/>
            <sz val="9"/>
            <color indexed="81"/>
            <rFont val="Tahoma"/>
            <family val="2"/>
          </rPr>
          <t>Willian Oliviera dos Santos
0,5 fte</t>
        </r>
      </text>
    </comment>
    <comment ref="AO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R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On request</t>
        </r>
      </text>
    </comment>
    <comment ref="AS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in case needed/ planning input</t>
        </r>
      </text>
    </comment>
    <comment ref="V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S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co-coordination and no TG/ planning input</t>
        </r>
      </text>
    </comment>
    <comment ref="AW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academic skills trajectory is option/planning input</t>
        </r>
      </text>
    </comment>
    <comment ref="BJ5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AU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W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Z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C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D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G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K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X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E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G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1TG planning input</t>
        </r>
      </text>
    </comment>
    <comment ref="AS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in case needed/ planning input</t>
        </r>
      </text>
    </comment>
    <comment ref="AT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in case needed we can ask her. Planning input</t>
        </r>
      </text>
    </comment>
    <comment ref="AW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Too high level OBP/ planning input</t>
        </r>
      </text>
    </comment>
    <comment ref="BB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D7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U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X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inut; topic on ethics</t>
        </r>
      </text>
    </comment>
    <comment ref="BB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C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G8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O1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Patrick Aarts optional</t>
        </r>
      </text>
    </comment>
    <comment ref="P1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Back up/ planning input</t>
        </r>
      </text>
    </comment>
    <comment ref="S1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T1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U1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E1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AP1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BJ10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R1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 TG planning input</t>
        </r>
      </text>
    </comment>
    <comment ref="Y1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1TG planning input</t>
        </r>
      </text>
    </comment>
    <comment ref="AT12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1TG planning input</t>
        </r>
      </text>
    </comment>
    <comment ref="AA14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T1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G1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K1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  <comment ref="AM16" authorId="2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planning input</t>
        </r>
      </text>
    </comment>
  </commentList>
</comments>
</file>

<file path=xl/comments7.xml><?xml version="1.0" encoding="utf-8"?>
<comments xmlns="http://schemas.openxmlformats.org/spreadsheetml/2006/main">
  <authors>
    <author>Anouk.Cuijpers</author>
    <author>University College Maastricht</author>
    <author>Hewitt, Michael (UCM)</author>
    <author>Lennartz Tom (UCM)</author>
    <author>Vos Richard (UCM)</author>
    <author>AthenaDesktop</author>
    <author>Nijst, Eefje (UCM)</author>
    <author>Tom Quist</author>
    <author>Windows User</author>
    <author>Athena</author>
    <author>Richard.Vos</author>
    <author>Vos, Richard (UCM)</author>
    <author>Dekker Teun (UCM)</author>
  </authors>
  <commentList>
    <comment ref="C1" authorId="0" shapeId="0">
      <text>
        <r>
          <rPr>
            <sz val="8"/>
            <color indexed="81"/>
            <rFont val="Tahoma"/>
            <family val="2"/>
          </rPr>
          <t>Lonneke Bevers (1.0 fte)
taakstelling</t>
        </r>
      </text>
    </comment>
    <comment ref="D1" authorId="1" shapeId="0">
      <text>
        <r>
          <rPr>
            <sz val="8"/>
            <color indexed="81"/>
            <rFont val="Tahoma"/>
            <family val="2"/>
          </rPr>
          <t>Louis Boon (1.0 fte)
taakstelling</t>
        </r>
      </text>
    </comment>
    <comment ref="E1" authorId="2" shapeId="0">
      <text>
        <r>
          <rPr>
            <b/>
            <sz val="9"/>
            <color indexed="81"/>
            <rFont val="Tahoma"/>
            <family val="2"/>
          </rPr>
          <t>Hewitt, Michael (UCM):</t>
        </r>
        <r>
          <rPr>
            <sz val="9"/>
            <color indexed="81"/>
            <rFont val="Tahoma"/>
            <family val="2"/>
          </rPr>
          <t xml:space="preserve">
Susana Carmona</t>
        </r>
      </text>
    </comment>
    <comment ref="F1" authorId="1" shapeId="0">
      <text>
        <r>
          <rPr>
            <sz val="8"/>
            <color indexed="81"/>
            <rFont val="Tahoma"/>
            <family val="2"/>
          </rPr>
          <t>Teun Dekker (1.0 fte)
taakstelling</t>
        </r>
      </text>
    </comment>
    <comment ref="G1" authorId="1" shapeId="0">
      <text>
        <r>
          <rPr>
            <sz val="8"/>
            <color indexed="81"/>
            <rFont val="Tahoma"/>
            <family val="2"/>
          </rPr>
          <t>Wilfred van Dellen (1.0 fte)
taakstelling</t>
        </r>
      </text>
    </comment>
    <comment ref="H1" authorId="3" shapeId="0">
      <text>
        <r>
          <rPr>
            <b/>
            <sz val="9"/>
            <color indexed="81"/>
            <rFont val="Tahoma"/>
            <family val="2"/>
          </rPr>
          <t>Lennartz Tom (UCM):</t>
        </r>
        <r>
          <rPr>
            <sz val="9"/>
            <color indexed="81"/>
            <rFont val="Tahoma"/>
            <family val="2"/>
          </rPr>
          <t xml:space="preserve">
Cihan Erkli</t>
        </r>
      </text>
    </comment>
    <comment ref="I1" authorId="4" shapeId="0">
      <text>
        <r>
          <rPr>
            <b/>
            <sz val="9"/>
            <color indexed="81"/>
            <rFont val="Tahoma"/>
            <family val="2"/>
          </rPr>
          <t>Angus Foster</t>
        </r>
      </text>
    </comment>
    <comment ref="J1" authorId="5" shapeId="0">
      <text>
        <r>
          <rPr>
            <sz val="8"/>
            <color indexed="81"/>
            <rFont val="Tahoma"/>
            <family val="2"/>
          </rPr>
          <t>Wolfgang Giernalczyk (1,0 fte)
taakstelling</t>
        </r>
      </text>
    </comment>
    <comment ref="K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T. Griffin/PhD Jos</t>
        </r>
      </text>
    </comment>
    <comment ref="L1" authorId="1" shapeId="0">
      <text>
        <r>
          <rPr>
            <sz val="8"/>
            <color indexed="81"/>
            <rFont val="Tahoma"/>
            <family val="2"/>
          </rPr>
          <t>Roberta Haar (1.0 fte)
taakstelling</t>
        </r>
      </text>
    </comment>
    <comment ref="M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Caroline Huijts</t>
        </r>
      </text>
    </comment>
    <comment ref="N1" authorId="7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Kai Heidemann</t>
        </r>
      </text>
    </comment>
    <comment ref="O1" authorId="1" shapeId="0">
      <text>
        <r>
          <rPr>
            <sz val="8"/>
            <color indexed="81"/>
            <rFont val="Tahoma"/>
            <family val="2"/>
          </rPr>
          <t>Manuela Heins (1.0 fte) 
taakstelling</t>
        </r>
      </text>
    </comment>
    <comment ref="P1" authorId="4" shapeId="0">
      <text>
        <r>
          <rPr>
            <b/>
            <sz val="9"/>
            <color indexed="81"/>
            <rFont val="Tahoma"/>
            <family val="2"/>
          </rPr>
          <t>Milan Kovacevic</t>
        </r>
      </text>
    </comment>
    <comment ref="Q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Mitchel Kiefer</t>
        </r>
      </text>
    </comment>
    <comment ref="R1" authorId="8" shapeId="0">
      <text>
        <r>
          <rPr>
            <b/>
            <sz val="9"/>
            <color indexed="81"/>
            <rFont val="Tahoma"/>
            <family val="2"/>
          </rPr>
          <t>Veronica Lifrieri:</t>
        </r>
        <r>
          <rPr>
            <sz val="9"/>
            <color indexed="81"/>
            <rFont val="Tahoma"/>
            <family val="2"/>
          </rPr>
          <t xml:space="preserve">
1,0 fte aanstelling
waarvan 0,6 UCM</t>
        </r>
      </text>
    </comment>
    <comment ref="S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Enide Maegherman</t>
        </r>
      </text>
    </comment>
    <comment ref="T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D. Melnyk/PhD Teun</t>
        </r>
      </text>
    </comment>
    <comment ref="U1" authorId="7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Jeroen Moes</t>
        </r>
      </text>
    </comment>
    <comment ref="V1" authorId="9" shapeId="0">
      <text>
        <r>
          <rPr>
            <sz val="8"/>
            <color indexed="81"/>
            <rFont val="Tahoma"/>
            <family val="2"/>
          </rPr>
          <t>Ulli Mueller (1.0 fte)
taakstelling</t>
        </r>
      </text>
    </comment>
    <comment ref="W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Andrew Oringer</t>
        </r>
      </text>
    </comment>
    <comment ref="X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Joris van Poecke</t>
        </r>
      </text>
    </comment>
    <comment ref="Y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Christoph Rausch</t>
        </r>
      </text>
    </comment>
    <comment ref="Z1" authorId="4" shapeId="0">
      <text>
        <r>
          <rPr>
            <b/>
            <sz val="9"/>
            <color indexed="81"/>
            <rFont val="Tahoma"/>
            <family val="2"/>
          </rPr>
          <t>Vos Richard (UCM):</t>
        </r>
        <r>
          <rPr>
            <sz val="9"/>
            <color indexed="81"/>
            <rFont val="Tahoma"/>
            <family val="2"/>
          </rPr>
          <t xml:space="preserve">
Inge Römgens
</t>
        </r>
      </text>
    </comment>
    <comment ref="AA1" authorId="5" shapeId="0">
      <text>
        <r>
          <rPr>
            <sz val="8"/>
            <color indexed="81"/>
            <rFont val="Tahoma"/>
            <family val="2"/>
          </rPr>
          <t>Jenny Schell (0,9 fte)
taakstelling</t>
        </r>
      </text>
    </comment>
    <comment ref="AB1" authorId="7" shapeId="0">
      <text>
        <r>
          <rPr>
            <b/>
            <sz val="9"/>
            <color indexed="81"/>
            <rFont val="Tahoma"/>
            <family val="2"/>
          </rPr>
          <t>Tom Quist:</t>
        </r>
        <r>
          <rPr>
            <sz val="9"/>
            <color indexed="81"/>
            <rFont val="Tahoma"/>
            <family val="2"/>
          </rPr>
          <t xml:space="preserve">
Bram Schmidtz
Periode 1
2 onderwijsgroepen COR1005 Modeling Nature
4x surveilleren short test SKI2079 Lab Skills Human Anatomy and Histology
1x surveilleren eindtoets SKI2079 Lab Skills Human Anatomy and Histology
Periode 2
Coördinatie SCI2021 Metabolism and Activity
Onderwijsgroep SCI2021 Metabolism and Activity
Periode 4
Bij voorkeur 1 à 2 onderwijsgroepen COR1005 Modeling Nature, mits de werkzaamheden voor Pre-Med dat toelaten
</t>
        </r>
      </text>
    </comment>
    <comment ref="AC1" authorId="2" shapeId="0">
      <text>
        <r>
          <rPr>
            <b/>
            <sz val="9"/>
            <color indexed="81"/>
            <rFont val="Tahoma"/>
            <family val="2"/>
          </rPr>
          <t>Hewitt, Michael (UCM):</t>
        </r>
        <r>
          <rPr>
            <sz val="9"/>
            <color indexed="81"/>
            <rFont val="Tahoma"/>
            <family val="2"/>
          </rPr>
          <t xml:space="preserve">
Eline Schmeets</t>
        </r>
      </text>
    </comment>
    <comment ref="AD1" authorId="1" shapeId="0">
      <text>
        <r>
          <rPr>
            <sz val="8"/>
            <color indexed="81"/>
            <rFont val="Tahoma"/>
            <family val="2"/>
          </rPr>
          <t xml:space="preserve">Mark Stout (1.0 fte)
taakstelling </t>
        </r>
      </text>
    </comment>
    <comment ref="AE1" authorId="9" shapeId="0">
      <text>
        <r>
          <rPr>
            <sz val="8"/>
            <color indexed="81"/>
            <rFont val="Tahoma"/>
            <family val="2"/>
          </rPr>
          <t xml:space="preserve">Peter Vermeer (1,0 fte)
taakstelling
</t>
        </r>
      </text>
    </comment>
    <comment ref="AF1" authorId="3" shapeId="0">
      <text>
        <r>
          <rPr>
            <b/>
            <sz val="9"/>
            <color indexed="81"/>
            <rFont val="Tahoma"/>
            <family val="2"/>
          </rPr>
          <t>Lennartz Tom (UCM):</t>
        </r>
        <r>
          <rPr>
            <sz val="9"/>
            <color indexed="81"/>
            <rFont val="Tahoma"/>
            <family val="2"/>
          </rPr>
          <t xml:space="preserve">
Dave Vliegenthart</t>
        </r>
      </text>
    </comment>
    <comment ref="AG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Jos Welie</t>
        </r>
      </text>
    </comment>
    <comment ref="AH1" authorId="10" shapeId="0">
      <text>
        <r>
          <rPr>
            <sz val="8"/>
            <color indexed="81"/>
            <rFont val="Tahoma"/>
            <family val="2"/>
          </rPr>
          <t>Alice Wellum</t>
        </r>
      </text>
    </comment>
    <comment ref="AI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Catherine Yuk Ping Lo</t>
        </r>
      </text>
    </comment>
    <comment ref="AO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Zeta Eirtree</t>
        </r>
      </text>
    </comment>
    <comment ref="AP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Sebastian Huehne</t>
        </r>
      </text>
    </comment>
    <comment ref="AQ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Kai Koenemann</t>
        </r>
      </text>
    </comment>
    <comment ref="AR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Jonathan Schoen
0,5 fte</t>
        </r>
      </text>
    </comment>
    <comment ref="AS1" authorId="11" shapeId="0">
      <text>
        <r>
          <rPr>
            <b/>
            <sz val="9"/>
            <color indexed="81"/>
            <rFont val="Tahoma"/>
            <family val="2"/>
          </rPr>
          <t>Vos, Richard (UCM):</t>
        </r>
        <r>
          <rPr>
            <sz val="9"/>
            <color indexed="81"/>
            <rFont val="Tahoma"/>
            <family val="2"/>
          </rPr>
          <t xml:space="preserve">
Elian Sieben</t>
        </r>
      </text>
    </comment>
    <comment ref="AT1" authorId="6" shapeId="0">
      <text>
        <r>
          <rPr>
            <b/>
            <sz val="9"/>
            <color indexed="81"/>
            <rFont val="Tahoma"/>
            <family val="2"/>
          </rPr>
          <t>Nijst, Eefje (UCM):</t>
        </r>
        <r>
          <rPr>
            <sz val="9"/>
            <color indexed="81"/>
            <rFont val="Tahoma"/>
            <family val="2"/>
          </rPr>
          <t xml:space="preserve">
Wouter Stoop</t>
        </r>
      </text>
    </comment>
    <comment ref="AU1" authorId="11" shapeId="0">
      <text>
        <r>
          <rPr>
            <b/>
            <sz val="9"/>
            <color indexed="81"/>
            <rFont val="Tahoma"/>
            <family val="2"/>
          </rPr>
          <t>Vos, Richard (UCM):</t>
        </r>
        <r>
          <rPr>
            <sz val="9"/>
            <color indexed="81"/>
            <rFont val="Tahoma"/>
            <family val="2"/>
          </rPr>
          <t xml:space="preserve">
Julia van Zijl
</t>
        </r>
      </text>
    </comment>
    <comment ref="AV1" authorId="12" shapeId="0">
      <text>
        <r>
          <rPr>
            <b/>
            <sz val="9"/>
            <color indexed="81"/>
            <rFont val="Tahoma"/>
            <family val="2"/>
          </rPr>
          <t>Olga Bostan</t>
        </r>
      </text>
    </comment>
    <comment ref="AW1" authorId="12" shapeId="0">
      <text>
        <r>
          <rPr>
            <b/>
            <sz val="9"/>
            <color indexed="81"/>
            <rFont val="Tahoma"/>
            <family val="2"/>
          </rPr>
          <t>Job Heusschen</t>
        </r>
      </text>
    </comment>
    <comment ref="AX1" authorId="12" shapeId="0">
      <text>
        <r>
          <rPr>
            <b/>
            <sz val="9"/>
            <color indexed="81"/>
            <rFont val="Tahoma"/>
            <family val="2"/>
          </rPr>
          <t>Willian Oliviera dos Santos
0,5 fte</t>
        </r>
      </text>
    </comment>
    <comment ref="P88" authorId="8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900/12*9=675 uur
aug.sept.okt geen onderwijs
</t>
        </r>
      </text>
    </comment>
  </commentList>
</comments>
</file>

<file path=xl/sharedStrings.xml><?xml version="1.0" encoding="utf-8"?>
<sst xmlns="http://schemas.openxmlformats.org/spreadsheetml/2006/main" count="1873" uniqueCount="726">
  <si>
    <t>No Teaching</t>
  </si>
  <si>
    <r>
      <t>AA</t>
    </r>
    <r>
      <rPr>
        <sz val="8"/>
        <rFont val="Verdana"/>
        <family val="2"/>
      </rPr>
      <t xml:space="preserve"> Students/Fall</t>
    </r>
    <phoneticPr fontId="4" type="noConversion"/>
  </si>
  <si>
    <r>
      <t xml:space="preserve">AA </t>
    </r>
    <r>
      <rPr>
        <sz val="8"/>
        <rFont val="Verdana"/>
        <family val="2"/>
      </rPr>
      <t>Students/Spring</t>
    </r>
    <phoneticPr fontId="4" type="noConversion"/>
  </si>
  <si>
    <r>
      <t>Peers</t>
    </r>
    <r>
      <rPr>
        <sz val="8"/>
        <rFont val="Verdana"/>
        <family val="2"/>
      </rPr>
      <t xml:space="preserve"> Stud sem 2</t>
    </r>
    <phoneticPr fontId="4" type="noConversion"/>
  </si>
  <si>
    <r>
      <t>Peers</t>
    </r>
    <r>
      <rPr>
        <sz val="8"/>
        <rFont val="Verdana"/>
        <family val="2"/>
      </rPr>
      <t xml:space="preserve"> Stud sem 1</t>
    </r>
    <phoneticPr fontId="4" type="noConversion"/>
  </si>
  <si>
    <t>AB</t>
  </si>
  <si>
    <t>Board of Admissions member</t>
  </si>
  <si>
    <t>Examination board member</t>
  </si>
  <si>
    <t>Examination Board chair</t>
  </si>
  <si>
    <t>Vice Dean</t>
  </si>
  <si>
    <t>Tutorgroups</t>
  </si>
  <si>
    <t>PERIOD 6</t>
  </si>
  <si>
    <t>WG</t>
  </si>
  <si>
    <t>TD</t>
  </si>
  <si>
    <t>WvD</t>
  </si>
  <si>
    <t>Course development</t>
  </si>
  <si>
    <t>Hours</t>
  </si>
  <si>
    <t>New</t>
  </si>
  <si>
    <t>Adapted</t>
  </si>
  <si>
    <t>Existing</t>
  </si>
  <si>
    <t>6-8 tutorial groups</t>
  </si>
  <si>
    <t>9 and more  tutorial groups</t>
  </si>
  <si>
    <t>Curriculum development</t>
  </si>
  <si>
    <t>Curriculum committee chairman</t>
  </si>
  <si>
    <t>per academic year</t>
  </si>
  <si>
    <t>Curriculum committee member</t>
  </si>
  <si>
    <t>Board of studies chairman</t>
  </si>
  <si>
    <t>UCM</t>
  </si>
  <si>
    <t>Teaching preference</t>
  </si>
  <si>
    <t>JS</t>
  </si>
  <si>
    <t>PERIOD 1</t>
  </si>
  <si>
    <t>PERIOD 2</t>
  </si>
  <si>
    <t>NR</t>
  </si>
  <si>
    <t>TG</t>
  </si>
  <si>
    <t>TG problem</t>
  </si>
  <si>
    <t>MS</t>
  </si>
  <si>
    <t>Coordination</t>
  </si>
  <si>
    <t>CO</t>
  </si>
  <si>
    <t>Period 1</t>
  </si>
  <si>
    <t>Tutorhours</t>
  </si>
  <si>
    <t>totaal</t>
  </si>
  <si>
    <t>Period 2</t>
  </si>
  <si>
    <t>Period 3</t>
  </si>
  <si>
    <t>Coor</t>
  </si>
  <si>
    <t>Period 4</t>
  </si>
  <si>
    <t>Period 5</t>
  </si>
  <si>
    <t>Period 6</t>
  </si>
  <si>
    <t>Vaste rollen</t>
  </si>
  <si>
    <t>Interviews</t>
  </si>
  <si>
    <t>hours</t>
  </si>
  <si>
    <t>Total hours</t>
  </si>
  <si>
    <t>Total fixed roles</t>
  </si>
  <si>
    <t>Norm hours</t>
  </si>
  <si>
    <t>difference</t>
  </si>
  <si>
    <t>Correction</t>
  </si>
  <si>
    <t>Lect</t>
  </si>
  <si>
    <t>lect</t>
  </si>
  <si>
    <t>PEERS coordination</t>
  </si>
  <si>
    <t>MLJA Editorial board</t>
  </si>
  <si>
    <t>Science coordination</t>
  </si>
  <si>
    <r>
      <t>Capstone</t>
    </r>
    <r>
      <rPr>
        <sz val="8"/>
        <rFont val="Verdana"/>
        <family val="2"/>
      </rPr>
      <t xml:space="preserve"> Stud sem 2</t>
    </r>
  </si>
  <si>
    <r>
      <t>Capstone</t>
    </r>
    <r>
      <rPr>
        <sz val="8"/>
        <rFont val="Verdana"/>
        <family val="2"/>
      </rPr>
      <t xml:space="preserve"> Stud sem 1</t>
    </r>
  </si>
  <si>
    <t>BS</t>
  </si>
  <si>
    <t>KH</t>
  </si>
  <si>
    <t>Board of studies member</t>
  </si>
  <si>
    <t>50-150</t>
  </si>
  <si>
    <t>Course coordination</t>
  </si>
  <si>
    <t>1-2 tutorial groups</t>
  </si>
  <si>
    <t>3-5 tutorial groups</t>
  </si>
  <si>
    <t>LB</t>
  </si>
  <si>
    <t>JM</t>
  </si>
  <si>
    <t>depending on workload</t>
  </si>
  <si>
    <t>Teaching</t>
  </si>
  <si>
    <t>PERIOD 3</t>
  </si>
  <si>
    <t>ST/TG</t>
  </si>
  <si>
    <t>PV</t>
  </si>
  <si>
    <t>RH</t>
  </si>
  <si>
    <t>UM</t>
  </si>
  <si>
    <t>MH</t>
  </si>
  <si>
    <t>FAC</t>
  </si>
  <si>
    <t>CR</t>
  </si>
  <si>
    <t>Total</t>
  </si>
  <si>
    <t>CODE</t>
  </si>
  <si>
    <t>COURSE TITLE</t>
  </si>
  <si>
    <t>COORDINATOR</t>
  </si>
  <si>
    <t>Curriculum evaluation</t>
  </si>
  <si>
    <t>Per ST</t>
  </si>
  <si>
    <t>15-60</t>
  </si>
  <si>
    <t>depending on group size</t>
  </si>
  <si>
    <t>Tutors</t>
  </si>
  <si>
    <t>per group</t>
  </si>
  <si>
    <t>Lectures</t>
  </si>
  <si>
    <t>Tutors skills training</t>
  </si>
  <si>
    <t>Tutors projects</t>
  </si>
  <si>
    <t>per student per course</t>
  </si>
  <si>
    <t>Assessment assignments writing  and projects</t>
  </si>
  <si>
    <t>Skills coordination</t>
  </si>
  <si>
    <t>AA coordination/committee</t>
  </si>
  <si>
    <t>PERIOD 4</t>
  </si>
  <si>
    <t>PERIOD 5</t>
  </si>
  <si>
    <t>IR</t>
  </si>
  <si>
    <t>AW</t>
  </si>
  <si>
    <t>CE</t>
  </si>
  <si>
    <t>Totaal 16-17</t>
  </si>
  <si>
    <t>Assessment (1,5 hours per student per course)</t>
  </si>
  <si>
    <t>Board of survey member</t>
  </si>
  <si>
    <t>number feb 2017</t>
  </si>
  <si>
    <t>number sept 2017</t>
  </si>
  <si>
    <t>per tutorial hour</t>
  </si>
  <si>
    <t>per lecturing hour</t>
  </si>
  <si>
    <t>Fixed roles</t>
  </si>
  <si>
    <t>Admissions Interview</t>
  </si>
  <si>
    <t>per student per interview</t>
  </si>
  <si>
    <t>Board of Survey chair</t>
  </si>
  <si>
    <t>Board of Survey member</t>
  </si>
  <si>
    <t>Science Coordination</t>
  </si>
  <si>
    <t>Capstone supervision</t>
  </si>
  <si>
    <t>per student per capstone</t>
  </si>
  <si>
    <t>Capstone 2nd grader</t>
  </si>
  <si>
    <t>Peers Coordination</t>
  </si>
  <si>
    <t>Peers teaching UCM</t>
  </si>
  <si>
    <t xml:space="preserve">per student </t>
  </si>
  <si>
    <t>Peers teaching external</t>
  </si>
  <si>
    <t>Internship coordination</t>
  </si>
  <si>
    <t>Universalis board member</t>
  </si>
  <si>
    <t>Examination board chair</t>
  </si>
  <si>
    <t>Board of survey chair</t>
  </si>
  <si>
    <t>DV</t>
  </si>
  <si>
    <t>VL</t>
  </si>
  <si>
    <t>AF</t>
  </si>
  <si>
    <t>WOS</t>
  </si>
  <si>
    <t>OB</t>
  </si>
  <si>
    <t>JH</t>
  </si>
  <si>
    <t>MK</t>
  </si>
  <si>
    <t>ES</t>
  </si>
  <si>
    <t>Tutors (1st Year JTF)</t>
  </si>
  <si>
    <t>per TG regular staff</t>
  </si>
  <si>
    <t>Per TG 1st Year JTF</t>
  </si>
  <si>
    <t>Total Teaching Hours per Period</t>
  </si>
  <si>
    <t>Total Teaching Hours per Week</t>
  </si>
  <si>
    <t>Fixed Role Hours per Week</t>
  </si>
  <si>
    <t>Contract Hours per Week</t>
  </si>
  <si>
    <t>Hours Remaining per Week</t>
  </si>
  <si>
    <t>JvZ</t>
  </si>
  <si>
    <t>ElS</t>
  </si>
  <si>
    <t>Sca</t>
  </si>
  <si>
    <t>CH</t>
  </si>
  <si>
    <t>JW</t>
  </si>
  <si>
    <t>CYPL</t>
  </si>
  <si>
    <t>JvP</t>
  </si>
  <si>
    <t>KK</t>
  </si>
  <si>
    <t>SH</t>
  </si>
  <si>
    <t>Lbe</t>
  </si>
  <si>
    <t>ZE</t>
  </si>
  <si>
    <t>WS</t>
  </si>
  <si>
    <t>TBD</t>
  </si>
  <si>
    <t>EM</t>
  </si>
  <si>
    <t>AO</t>
  </si>
  <si>
    <t>DM</t>
  </si>
  <si>
    <t>COR1003</t>
  </si>
  <si>
    <t>Contemporary World History</t>
  </si>
  <si>
    <t>M. Stout</t>
  </si>
  <si>
    <t>COR1006</t>
  </si>
  <si>
    <t>Science, Reason and Human Progress</t>
  </si>
  <si>
    <t>M. Heins</t>
  </si>
  <si>
    <t>HUM1007</t>
  </si>
  <si>
    <t>Introduction to Philosophy</t>
  </si>
  <si>
    <t>R. Gabriels</t>
  </si>
  <si>
    <t>Introduction to Art; Representations, Performances and Interactions</t>
  </si>
  <si>
    <t>HUM1012</t>
  </si>
  <si>
    <t>Pop Songs and Poetry: Theory and Analysis</t>
  </si>
  <si>
    <t>J. Weusten</t>
  </si>
  <si>
    <t>HUM2003</t>
  </si>
  <si>
    <t>The Making of Crucial Differences: ‘Race’, Sexuality, Gender, and Class in Historical Perspective</t>
  </si>
  <si>
    <t>HUM2005</t>
  </si>
  <si>
    <t>Enlightenment and Romanticism</t>
  </si>
  <si>
    <t>M. Doorman</t>
  </si>
  <si>
    <t>HUM2046</t>
  </si>
  <si>
    <t>HUM2058</t>
  </si>
  <si>
    <t>History of Contemporary Spirituality</t>
  </si>
  <si>
    <t>D. Vliegenthart</t>
  </si>
  <si>
    <t>Narrative Media</t>
  </si>
  <si>
    <t>R. van de Vall</t>
  </si>
  <si>
    <t>HUM3043</t>
  </si>
  <si>
    <t>Acts of Literature: The Role of Prose, Poetry, and Plays in a Changing World</t>
  </si>
  <si>
    <t>J. de Roder</t>
  </si>
  <si>
    <t>Lifting the Iron Curtain Modern and Contemporary Eastern Europe</t>
  </si>
  <si>
    <t>F. Laczó</t>
  </si>
  <si>
    <t>SCI1009</t>
  </si>
  <si>
    <t>Introduction to Biology</t>
  </si>
  <si>
    <t>SCI1010</t>
  </si>
  <si>
    <t>Basic Mathematical Tools</t>
  </si>
  <si>
    <t>D. Vermeulen</t>
  </si>
  <si>
    <t>Discrete Mathematics</t>
  </si>
  <si>
    <t>G. Schoenmakers</t>
  </si>
  <si>
    <t>Introduction to Programming</t>
  </si>
  <si>
    <t>Genetics and Evolution</t>
  </si>
  <si>
    <t>Infectious Diseases and Global Public Health</t>
  </si>
  <si>
    <t>C. Lo</t>
  </si>
  <si>
    <t>Optimization</t>
  </si>
  <si>
    <t>G. Stamoulis</t>
  </si>
  <si>
    <t>Endocrinology</t>
  </si>
  <si>
    <t>A. Gilde</t>
  </si>
  <si>
    <t>SKI1004</t>
  </si>
  <si>
    <t>Research Methods I</t>
  </si>
  <si>
    <t>J. Moes</t>
  </si>
  <si>
    <t>SKI1008</t>
  </si>
  <si>
    <t>Introduction to Academic Skills I</t>
  </si>
  <si>
    <t>A. Wellum / A. Foster</t>
  </si>
  <si>
    <t>Presentation Skills</t>
  </si>
  <si>
    <t>SKI2049</t>
  </si>
  <si>
    <t>Argumentation I</t>
  </si>
  <si>
    <t>W. Giernalczyk</t>
  </si>
  <si>
    <t xml:space="preserve">Ethnography and Qualitative Interviewing I </t>
  </si>
  <si>
    <t>U. Müller</t>
  </si>
  <si>
    <t>Lab Skills: Genetics</t>
  </si>
  <si>
    <t>J. Broers</t>
  </si>
  <si>
    <t>SSC1005</t>
  </si>
  <si>
    <t>Introduction to Psychology</t>
  </si>
  <si>
    <t>SSC1007</t>
  </si>
  <si>
    <t>Introduction to Law and legal Reasoning</t>
  </si>
  <si>
    <t>G. Arosemena</t>
  </si>
  <si>
    <t>SSC1029</t>
  </si>
  <si>
    <t>Sociological Perspectives</t>
  </si>
  <si>
    <t>K. Heidemann</t>
  </si>
  <si>
    <t>International Relations: Themes and Theories</t>
  </si>
  <si>
    <t>B. Erdogan</t>
  </si>
  <si>
    <t>The Economics of Information</t>
  </si>
  <si>
    <t>S. Terstiege</t>
  </si>
  <si>
    <t>Globalization and Inequality: Perspectives on Development</t>
  </si>
  <si>
    <t>W. Nauta</t>
  </si>
  <si>
    <t>P. Brüll</t>
  </si>
  <si>
    <r>
      <t>The Social Study of Environmental Problems:  Between Nature, Society, and Politics</t>
    </r>
    <r>
      <rPr>
        <sz val="12"/>
        <color theme="1"/>
        <rFont val="Calibri"/>
        <family val="2"/>
        <scheme val="minor"/>
      </rPr>
      <t xml:space="preserve">  </t>
    </r>
  </si>
  <si>
    <t>J. Lachmund</t>
  </si>
  <si>
    <t>Human Reasoning and Complex Cognition</t>
  </si>
  <si>
    <t>European Institutions</t>
  </si>
  <si>
    <t>P. Melin</t>
  </si>
  <si>
    <t>American Foreign Policy</t>
  </si>
  <si>
    <t>R. Haar</t>
  </si>
  <si>
    <t>International Trade Law: Globalisation Trade and Development</t>
  </si>
  <si>
    <t>I. Alexovicova</t>
  </si>
  <si>
    <t>MaRBLe Undergraduate Research</t>
  </si>
  <si>
    <t>J. Moes / U. Müller</t>
  </si>
  <si>
    <t>Applied Research &amp; Internship Project</t>
  </si>
  <si>
    <t>I. Römgens</t>
  </si>
  <si>
    <t>FASOS</t>
  </si>
  <si>
    <t>FHML</t>
  </si>
  <si>
    <t>DKE</t>
  </si>
  <si>
    <t>FPN</t>
  </si>
  <si>
    <t>LAW</t>
  </si>
  <si>
    <t>SBE</t>
  </si>
  <si>
    <t>HUM3036</t>
  </si>
  <si>
    <t>HUM3052</t>
  </si>
  <si>
    <t>SCI2002</t>
  </si>
  <si>
    <t>SCI2011</t>
  </si>
  <si>
    <t>SCI2022</t>
  </si>
  <si>
    <t>SCI2042</t>
  </si>
  <si>
    <t>SCI3003</t>
  </si>
  <si>
    <t>SCI3007</t>
  </si>
  <si>
    <t>SKI2007</t>
  </si>
  <si>
    <t>SKI2085</t>
  </si>
  <si>
    <t>SKI2088</t>
  </si>
  <si>
    <t>SSC2002</t>
  </si>
  <si>
    <t>SSC2020</t>
  </si>
  <si>
    <t xml:space="preserve">SSC2046 </t>
  </si>
  <si>
    <t>SSC2063</t>
  </si>
  <si>
    <t>SSC3006</t>
  </si>
  <si>
    <t>SSC3019</t>
  </si>
  <si>
    <t>SSC3030</t>
  </si>
  <si>
    <t>SSC3036</t>
  </si>
  <si>
    <t>SSC3054</t>
  </si>
  <si>
    <t>UGR3001</t>
  </si>
  <si>
    <t>UGR3003</t>
  </si>
  <si>
    <t>Capstone</t>
  </si>
  <si>
    <t>P. Vermeer</t>
  </si>
  <si>
    <t>CAP3000</t>
  </si>
  <si>
    <t>COR1002</t>
  </si>
  <si>
    <t>Philosophy of Science</t>
  </si>
  <si>
    <t>COR1004</t>
  </si>
  <si>
    <t>Political Philosophy</t>
  </si>
  <si>
    <t>HUM1010</t>
  </si>
  <si>
    <t>Common Foundations of Law in Europe</t>
  </si>
  <si>
    <t>HUM1013</t>
  </si>
  <si>
    <t>The Idea of Europe: The Intellectual History of Europe</t>
  </si>
  <si>
    <t>The Presence of Art: Reinterpreting Modern and Contemporary Art</t>
  </si>
  <si>
    <t>Philosophers of the 20th Century</t>
  </si>
  <si>
    <t>HUM2022</t>
  </si>
  <si>
    <t>Digital Media: Digitalization, Digital Cultures and User Practices</t>
  </si>
  <si>
    <t>HUM2059</t>
  </si>
  <si>
    <t>HUM2060</t>
  </si>
  <si>
    <t>Poetry, Poetry Theory and Poetry Practices</t>
  </si>
  <si>
    <t>Crucial Differences in the 21st Century</t>
  </si>
  <si>
    <t xml:space="preserve">A Cultural Critique of Our Aging Society </t>
  </si>
  <si>
    <t>SCI1004</t>
  </si>
  <si>
    <t>Introduction to Chemistry</t>
  </si>
  <si>
    <t>SCI1005</t>
  </si>
  <si>
    <t>The Digital Enterprise</t>
  </si>
  <si>
    <t>SCI1016</t>
  </si>
  <si>
    <t>Sustainable Development</t>
  </si>
  <si>
    <t>Calculus</t>
  </si>
  <si>
    <t>Functional Neuroanatomy</t>
  </si>
  <si>
    <t xml:space="preserve">Biochemistry </t>
  </si>
  <si>
    <t>Artificial intelligence</t>
  </si>
  <si>
    <t>Metabolism, Nutrition and Exercise</t>
  </si>
  <si>
    <t>Advances in Biomedical Sciences</t>
  </si>
  <si>
    <t>Research Methods II</t>
  </si>
  <si>
    <t>Introduction to Academic Skills II</t>
  </si>
  <si>
    <t>Writing in an Academic Context: Improving Argumentation and Style</t>
  </si>
  <si>
    <t>Lab Skills: Biochemistry</t>
  </si>
  <si>
    <t>Argumentation II</t>
  </si>
  <si>
    <t>SKI3003</t>
  </si>
  <si>
    <t>Research Studio, introduction to applying an art practice as research method</t>
  </si>
  <si>
    <t>Preparing Conference</t>
  </si>
  <si>
    <t>Ethnography and Qualitative Interviewing II</t>
  </si>
  <si>
    <t>SSC1025</t>
  </si>
  <si>
    <t>Introduction to Political Science</t>
  </si>
  <si>
    <t>SSC1027</t>
  </si>
  <si>
    <t>Principles of Economics</t>
  </si>
  <si>
    <t>SSC1030</t>
  </si>
  <si>
    <t>Introduction to Business Administration</t>
  </si>
  <si>
    <t>European Integration; History and Theory</t>
  </si>
  <si>
    <t>Social Psychology</t>
  </si>
  <si>
    <t>International Law</t>
  </si>
  <si>
    <t>Memory</t>
  </si>
  <si>
    <t>Classical Sociology</t>
  </si>
  <si>
    <t>Intermediate Microeconomics</t>
  </si>
  <si>
    <t>Entrepreneurship</t>
  </si>
  <si>
    <t>Statistics I</t>
  </si>
  <si>
    <t>Middle Eastern Politics</t>
  </si>
  <si>
    <t>Atrocity Triangle</t>
  </si>
  <si>
    <t>Economic Psychology</t>
  </si>
  <si>
    <t xml:space="preserve">Economics and Society in Contemporary Asia </t>
  </si>
  <si>
    <t>Urbanisation, Development and Poverty</t>
  </si>
  <si>
    <t>Human Rights: Principles and Polemics</t>
  </si>
  <si>
    <t>R. van Rhee</t>
  </si>
  <si>
    <t>M. Kardaun</t>
  </si>
  <si>
    <t>L. van den Hengel</t>
  </si>
  <si>
    <t>A. Swinnen</t>
  </si>
  <si>
    <t>F. Harmsen</t>
  </si>
  <si>
    <t>M. Huynen</t>
  </si>
  <si>
    <t>N. Deckers / C. Reutelingsperger</t>
  </si>
  <si>
    <t>S. Asteriadis</t>
  </si>
  <si>
    <t>P. Wieringa</t>
  </si>
  <si>
    <t>W. van Dellen</t>
  </si>
  <si>
    <t>P. Bollen</t>
  </si>
  <si>
    <t>I. Westendorp</t>
  </si>
  <si>
    <t>A. Sambeth</t>
  </si>
  <si>
    <t>M. Carree</t>
  </si>
  <si>
    <t>D. Tempelaar</t>
  </si>
  <si>
    <t>R. Moerland</t>
  </si>
  <si>
    <t>P. Werner</t>
  </si>
  <si>
    <t>K. Mau</t>
  </si>
  <si>
    <t>B. Pasveer</t>
  </si>
  <si>
    <t>MSP</t>
  </si>
  <si>
    <t>MSI</t>
  </si>
  <si>
    <t>HUM2057</t>
  </si>
  <si>
    <t>HUM3040</t>
  </si>
  <si>
    <t>HUM3049</t>
  </si>
  <si>
    <t>HUM3050</t>
  </si>
  <si>
    <t>SCI2018</t>
  </si>
  <si>
    <t>SCI2034</t>
  </si>
  <si>
    <t>SCI2035</t>
  </si>
  <si>
    <t>SCI2036</t>
  </si>
  <si>
    <t>SCI3005</t>
  </si>
  <si>
    <t>SCI3050</t>
  </si>
  <si>
    <t>SKI1005</t>
  </si>
  <si>
    <t>SKI1009</t>
  </si>
  <si>
    <t>SKI2084</t>
  </si>
  <si>
    <t>SKI2086</t>
  </si>
  <si>
    <t>SKI3002</t>
  </si>
  <si>
    <t>SKI3050</t>
  </si>
  <si>
    <t>SKI3052</t>
  </si>
  <si>
    <t>SSC2019</t>
  </si>
  <si>
    <t>SSC2024</t>
  </si>
  <si>
    <t>SSC2025</t>
  </si>
  <si>
    <t>SSC2028</t>
  </si>
  <si>
    <t>SSC2048</t>
  </si>
  <si>
    <t>SSC2055</t>
  </si>
  <si>
    <t>SSC2061</t>
  </si>
  <si>
    <t>SSC3008</t>
  </si>
  <si>
    <t>SSC3032</t>
  </si>
  <si>
    <t>SSC3033</t>
  </si>
  <si>
    <t>SSC3041</t>
  </si>
  <si>
    <t>SSC3047</t>
  </si>
  <si>
    <t xml:space="preserve">SSC3049 </t>
  </si>
  <si>
    <t>SSC2011</t>
  </si>
  <si>
    <t>Introducing Academic Communication: A Writing Project</t>
  </si>
  <si>
    <t>Research Project</t>
  </si>
  <si>
    <t>Writing Project: "The Journal"</t>
  </si>
  <si>
    <t>Project Academic Debate</t>
  </si>
  <si>
    <t>PRO2011</t>
  </si>
  <si>
    <t>Project Deep Reading</t>
  </si>
  <si>
    <t>Conference</t>
  </si>
  <si>
    <t>Think Tank</t>
  </si>
  <si>
    <t>Ethnography and Qualitative Interviewing III</t>
  </si>
  <si>
    <t>PRO3014</t>
  </si>
  <si>
    <t>Science Research Project: Biomedical Engineering</t>
  </si>
  <si>
    <t>PRO3015</t>
  </si>
  <si>
    <t>PRO1010</t>
  </si>
  <si>
    <t>PRO1012</t>
  </si>
  <si>
    <t>PRO2003</t>
  </si>
  <si>
    <t>PRO2004</t>
  </si>
  <si>
    <t>PRO3006</t>
  </si>
  <si>
    <t>PRO3008</t>
  </si>
  <si>
    <t>PRO3009</t>
  </si>
  <si>
    <t>HUM1003</t>
  </si>
  <si>
    <t>Cultural Studies I: Doing Cultural Studies</t>
  </si>
  <si>
    <t>HUM1014</t>
  </si>
  <si>
    <t>Great Novels 1850 - Present</t>
  </si>
  <si>
    <t>HUM2016</t>
  </si>
  <si>
    <t>Heritage Studies: Preserving Our Natural and Cultural Pasts (and Futures)</t>
  </si>
  <si>
    <t>Cultural Diversity in a Globalizing World</t>
  </si>
  <si>
    <t>Philosophy of Language</t>
  </si>
  <si>
    <t>HUM2047</t>
  </si>
  <si>
    <t>The Future of Literature</t>
  </si>
  <si>
    <t>HUM2051</t>
  </si>
  <si>
    <t>Philosophical Ethics</t>
  </si>
  <si>
    <t>HUM2054</t>
  </si>
  <si>
    <t>Totalitarian Temptation</t>
  </si>
  <si>
    <t>Medical Humanities</t>
  </si>
  <si>
    <t>The Idea of Africa</t>
  </si>
  <si>
    <t>SCI1001</t>
  </si>
  <si>
    <t>Theory Construction and Modelling Techniques</t>
  </si>
  <si>
    <t>Introduction to Game Theory</t>
  </si>
  <si>
    <t>Organic Chemistry</t>
  </si>
  <si>
    <t>Datamining</t>
  </si>
  <si>
    <t>Cell Biology</t>
  </si>
  <si>
    <t>SCI2040</t>
  </si>
  <si>
    <t>Microbiology</t>
  </si>
  <si>
    <t>Climate Change</t>
  </si>
  <si>
    <t>Mathematical Modeling</t>
  </si>
  <si>
    <t>SKI2005</t>
  </si>
  <si>
    <t>Back to the Sources</t>
  </si>
  <si>
    <t>Lab Skills: Cell Biology</t>
  </si>
  <si>
    <t>Developmental Psychology</t>
  </si>
  <si>
    <t>SSC2007</t>
  </si>
  <si>
    <t>Intermediate Macroeconomics</t>
  </si>
  <si>
    <t>SSC2010</t>
  </si>
  <si>
    <t>Contending Perspectives in Economics: The Case of Inequality</t>
  </si>
  <si>
    <t>SSC2018</t>
  </si>
  <si>
    <t>Brand Management and how to Communicate about Brands</t>
  </si>
  <si>
    <t>Peace and Conflict Studies</t>
  </si>
  <si>
    <t>History of Western Political Thought</t>
  </si>
  <si>
    <t>Social Movements</t>
  </si>
  <si>
    <t>Comparative Constitutional Law</t>
  </si>
  <si>
    <t>Foundations of Cognitive Psychology</t>
  </si>
  <si>
    <t>SSC2064</t>
  </si>
  <si>
    <t>Migration Studies: Flows and Concepts</t>
  </si>
  <si>
    <t>SSC2071</t>
  </si>
  <si>
    <t>Latin America: History, Politics and Cultures</t>
  </si>
  <si>
    <t>Public Economics</t>
  </si>
  <si>
    <t>Public Policy Evaluation</t>
  </si>
  <si>
    <t>War in World Politics</t>
  </si>
  <si>
    <t>Social and Sustainable Entrepreneurship</t>
  </si>
  <si>
    <t>Philosophy of Mind</t>
  </si>
  <si>
    <t>Contemporary Sociological Theory</t>
  </si>
  <si>
    <t xml:space="preserve">Chinese International Relations and Foreign Policy </t>
  </si>
  <si>
    <t>C. Höne</t>
  </si>
  <si>
    <t>C. Rausch</t>
  </si>
  <si>
    <t>M. Brancaccio</t>
  </si>
  <si>
    <t>H. Diliën</t>
  </si>
  <si>
    <t>E. Smirnov</t>
  </si>
  <si>
    <t>O. Melsted</t>
  </si>
  <si>
    <t>E. Persoon</t>
  </si>
  <si>
    <t>L. Lieb</t>
  </si>
  <si>
    <t>H. Meijers</t>
  </si>
  <si>
    <t>L. Bruggen</t>
  </si>
  <si>
    <t>T. Dekker</t>
  </si>
  <si>
    <t>P. Sabharwal</t>
  </si>
  <si>
    <t>M. Capalbo</t>
  </si>
  <si>
    <t>S. Carmona</t>
  </si>
  <si>
    <t>M. Loeffler</t>
  </si>
  <si>
    <t>R. Speijcken</t>
  </si>
  <si>
    <t>R. de Vries ??</t>
  </si>
  <si>
    <t>V. Lifrieri</t>
  </si>
  <si>
    <t>L.Ogden / W. van Dellen</t>
  </si>
  <si>
    <t>UCM/FASOS</t>
  </si>
  <si>
    <t>UMC+</t>
  </si>
  <si>
    <t>MGSOG</t>
  </si>
  <si>
    <t>EXT</t>
  </si>
  <si>
    <t>HUM2018</t>
  </si>
  <si>
    <t>HUM2021</t>
  </si>
  <si>
    <t>HUM3019</t>
  </si>
  <si>
    <t>HUM3029</t>
  </si>
  <si>
    <t>HUM3051</t>
  </si>
  <si>
    <t>HUM3053</t>
  </si>
  <si>
    <t>SCI2010</t>
  </si>
  <si>
    <t>SCI2017</t>
  </si>
  <si>
    <t>SCI2033</t>
  </si>
  <si>
    <t>SCI2037</t>
  </si>
  <si>
    <t>SCI2041</t>
  </si>
  <si>
    <t>SCI3006</t>
  </si>
  <si>
    <t>SKI2077</t>
  </si>
  <si>
    <t>SSC2006</t>
  </si>
  <si>
    <t>SSC2037</t>
  </si>
  <si>
    <t>SSC2039</t>
  </si>
  <si>
    <t>SSC2059</t>
  </si>
  <si>
    <t>SSC2060</t>
  </si>
  <si>
    <t>SSC2062</t>
  </si>
  <si>
    <t>SSC3009</t>
  </si>
  <si>
    <t>SSC3011</t>
  </si>
  <si>
    <t>SSC3012</t>
  </si>
  <si>
    <t>SSC3017</t>
  </si>
  <si>
    <t>SSC3023</t>
  </si>
  <si>
    <t>SSC3038</t>
  </si>
  <si>
    <t>SSC3055</t>
  </si>
  <si>
    <t>UGR3002</t>
  </si>
  <si>
    <t xml:space="preserve">States and Nations in Europe, from the Middle Ages to the First World War </t>
  </si>
  <si>
    <t>HUM2008</t>
  </si>
  <si>
    <t>Media and Technology: Philosophical Perspectives</t>
  </si>
  <si>
    <t>Cultural Studies II: Visual Cultures</t>
  </si>
  <si>
    <t>World History</t>
  </si>
  <si>
    <t>Biopoetics: An Evolutionary Approach to Art, Literature, Music and Religion</t>
  </si>
  <si>
    <t xml:space="preserve">Distributive Justice in Contemporary Political Philosophy </t>
  </si>
  <si>
    <t>Human Physiology</t>
  </si>
  <si>
    <t>Linear Algebra</t>
  </si>
  <si>
    <t xml:space="preserve">Immunology I </t>
  </si>
  <si>
    <t>SCI2039</t>
  </si>
  <si>
    <t>Computer Science</t>
  </si>
  <si>
    <t>Cognitive Neuroscience</t>
  </si>
  <si>
    <t>Pathobiology and Disease</t>
  </si>
  <si>
    <t>Data Analytics</t>
  </si>
  <si>
    <t>SKI2047</t>
  </si>
  <si>
    <t>Gaining Racial Literacy</t>
  </si>
  <si>
    <t>SKI2048</t>
  </si>
  <si>
    <t>Introduction to Discourse Analysis</t>
  </si>
  <si>
    <t>Lab Skills: Human Anatomy and Histology</t>
  </si>
  <si>
    <t>SKI2083</t>
  </si>
  <si>
    <t>International negotiation</t>
  </si>
  <si>
    <t>Clinical Psychology</t>
  </si>
  <si>
    <t>SSC2008</t>
  </si>
  <si>
    <t>Organization Theory</t>
  </si>
  <si>
    <t>SSC2009</t>
  </si>
  <si>
    <t>Corporate Finance: Behavioural Foundations – A Touch of Responsible Investments and Behavioral Economics</t>
  </si>
  <si>
    <t>SSC2022</t>
  </si>
  <si>
    <t>Accounting and Accountability</t>
  </si>
  <si>
    <t>Law and Society</t>
  </si>
  <si>
    <t>Development Economics</t>
  </si>
  <si>
    <t>Psychology and Law</t>
  </si>
  <si>
    <t>SSC2053</t>
  </si>
  <si>
    <r>
      <t xml:space="preserve">Public Health </t>
    </r>
    <r>
      <rPr>
        <sz val="10"/>
        <color indexed="8"/>
        <rFont val="Calibri"/>
        <family val="2"/>
        <scheme val="minor"/>
      </rPr>
      <t>Policy Making</t>
    </r>
  </si>
  <si>
    <t>Theories of Social Order</t>
  </si>
  <si>
    <t>SSC2070</t>
  </si>
  <si>
    <t>Social Studies of Finance: The Making (and Taking) of Value in the Financialization of Our Lives</t>
  </si>
  <si>
    <t>European Foreign Policy</t>
  </si>
  <si>
    <t>Statistics II</t>
  </si>
  <si>
    <t>International Economic Relations: the Case of Europe</t>
  </si>
  <si>
    <t>Identities</t>
  </si>
  <si>
    <t>Contemporary Critical Security Studies</t>
  </si>
  <si>
    <t>The Aftermath of Atrocity: A Course on Transitional Justice and Post-conflict Reconstruction</t>
  </si>
  <si>
    <t>Innovation Systems, Policy and Sustainability Transitions</t>
  </si>
  <si>
    <t>China and India in Global Governance</t>
  </si>
  <si>
    <t>SSC3060</t>
  </si>
  <si>
    <t>L. Boon</t>
  </si>
  <si>
    <t>M. Musegaas</t>
  </si>
  <si>
    <t>M. Dibenedetto</t>
  </si>
  <si>
    <t>I. Leunissen</t>
  </si>
  <si>
    <t>M. Peeters</t>
  </si>
  <si>
    <t>L. Köhler</t>
  </si>
  <si>
    <t>S. Jongen</t>
  </si>
  <si>
    <t>R. Kaenen</t>
  </si>
  <si>
    <t>S. Hardt</t>
  </si>
  <si>
    <t>C. Eggett</t>
  </si>
  <si>
    <t>J. Schell</t>
  </si>
  <si>
    <t>D. Ruwaard</t>
  </si>
  <si>
    <t>M. Levels</t>
  </si>
  <si>
    <t>C. Kool</t>
  </si>
  <si>
    <t>S. Türkeli/P.H. Wong</t>
  </si>
  <si>
    <t>HUM2007</t>
  </si>
  <si>
    <t>HUM2030</t>
  </si>
  <si>
    <t>HUM2031</t>
  </si>
  <si>
    <t>HUM2056</t>
  </si>
  <si>
    <t>HUM3034</t>
  </si>
  <si>
    <t>HUM3042</t>
  </si>
  <si>
    <t>HUM3045</t>
  </si>
  <si>
    <t>SCI2009</t>
  </si>
  <si>
    <t>SCI2019</t>
  </si>
  <si>
    <t>SCI2031</t>
  </si>
  <si>
    <t>SCI3046</t>
  </si>
  <si>
    <t>SCI3049</t>
  </si>
  <si>
    <t>SCI3051</t>
  </si>
  <si>
    <t>SKI2079</t>
  </si>
  <si>
    <t>SSC2004</t>
  </si>
  <si>
    <t>SSC2027</t>
  </si>
  <si>
    <t>SSC2043</t>
  </si>
  <si>
    <t>SSC2050</t>
  </si>
  <si>
    <t>SSC2065</t>
  </si>
  <si>
    <t>SSC3002</t>
  </si>
  <si>
    <t>SSC3018</t>
  </si>
  <si>
    <t>SSC3034</t>
  </si>
  <si>
    <t>SSC3040</t>
  </si>
  <si>
    <t>SSC3051</t>
  </si>
  <si>
    <t>SSC3052</t>
  </si>
  <si>
    <t>SSC3056</t>
  </si>
  <si>
    <t>SSC3059</t>
  </si>
  <si>
    <t>PRO3005</t>
  </si>
  <si>
    <t>Public Policy Evaluation &amp; Analysis Project</t>
  </si>
  <si>
    <t>PRO3013</t>
  </si>
  <si>
    <t>Science Research Project: Data Science</t>
  </si>
  <si>
    <t>PRO3016</t>
  </si>
  <si>
    <t>Social Sciences/Humanities Research Project</t>
  </si>
  <si>
    <t>IDS</t>
  </si>
  <si>
    <t>C. Bahn</t>
  </si>
  <si>
    <t>SKI3010</t>
  </si>
  <si>
    <t>K. Gabriels</t>
  </si>
  <si>
    <t>Liang-Kai Yu</t>
  </si>
  <si>
    <t>J. Welie</t>
  </si>
  <si>
    <t>SKI3011</t>
  </si>
  <si>
    <t>Evidence Synthesis 2: Statistics in Systematic Reviewing</t>
  </si>
  <si>
    <t>M. Zeegers</t>
  </si>
  <si>
    <t>PRO3017</t>
  </si>
  <si>
    <t>Faculty</t>
  </si>
  <si>
    <t>Lies Wesseling</t>
  </si>
  <si>
    <t>B. Schmitz</t>
  </si>
  <si>
    <t>O. d'Huys</t>
  </si>
  <si>
    <t>C. Browne / M. Stephenson</t>
  </si>
  <si>
    <t>A. van der Lugt</t>
  </si>
  <si>
    <t xml:space="preserve">P. Vermeer  </t>
  </si>
  <si>
    <t>J. Mesman</t>
  </si>
  <si>
    <t>J. Hoeks</t>
  </si>
  <si>
    <t>N. Beckers</t>
  </si>
  <si>
    <t>V. Lifriere</t>
  </si>
  <si>
    <t>C. Erkli</t>
  </si>
  <si>
    <t>PRO2013</t>
  </si>
  <si>
    <t>Project Design Thinking</t>
  </si>
  <si>
    <t>S. Schreibman</t>
  </si>
  <si>
    <t>A. van Apeldoorn</t>
  </si>
  <si>
    <t xml:space="preserve">Research Studio, where art and academia meet </t>
  </si>
  <si>
    <t>PRO3018</t>
  </si>
  <si>
    <t>Internationally Taught Project (registration via Form in MYUCM)</t>
  </si>
  <si>
    <t>PRO3019</t>
  </si>
  <si>
    <t>Applied Ethics:  Ethical decision-making in public life, research programs, and professional practices</t>
  </si>
  <si>
    <t>Medieval Civilization: Making the Middle Ages Relevant</t>
  </si>
  <si>
    <t>J. Roosen</t>
  </si>
  <si>
    <t>M. Doorman / S. Withaecks</t>
  </si>
  <si>
    <t>L. Bevers</t>
  </si>
  <si>
    <t>K. Wouters / B. Scmitz</t>
  </si>
  <si>
    <t>L, van Alphen</t>
  </si>
  <si>
    <t>Barbara Franci</t>
  </si>
  <si>
    <t xml:space="preserve">Evidence Synthesis 1: Study Designs in Systematic Reviewing </t>
  </si>
  <si>
    <t>M. Siegel</t>
  </si>
  <si>
    <t>J. Koning</t>
  </si>
  <si>
    <t>Undergraduate Research - The Documentary: Doing Visual Ethographic Research</t>
  </si>
  <si>
    <t xml:space="preserve">P. Vermeer </t>
  </si>
  <si>
    <t>P. del Hierro</t>
  </si>
  <si>
    <t>Ancient Philosophy</t>
  </si>
  <si>
    <t>D. Meacham/T. Viola</t>
  </si>
  <si>
    <t>E. Steinbock</t>
  </si>
  <si>
    <t>K.Wouters</t>
  </si>
  <si>
    <t>SCI3052</t>
  </si>
  <si>
    <t xml:space="preserve">Global Health: Impact of Flows of People, Goods, Knowledge and Technologies on Health and Disease </t>
  </si>
  <si>
    <t>G. Klabbers</t>
  </si>
  <si>
    <t>SSC3003</t>
  </si>
  <si>
    <t>The Law of the United Nations</t>
  </si>
  <si>
    <t>Evidence Synthesis 3: Systematic Review Research Project – Write Your Own Systematic Review</t>
  </si>
  <si>
    <t>Science and Technology Studies 1: Living in a Technological Culture</t>
  </si>
  <si>
    <t>HUM1011</t>
  </si>
  <si>
    <t>The Psychology of Individual Differences</t>
  </si>
  <si>
    <t>N. Harutyunyan</t>
  </si>
  <si>
    <t xml:space="preserve">HUM2013 </t>
  </si>
  <si>
    <t>Religion, Myth and Secularization</t>
  </si>
  <si>
    <t>Data Analysis and Visualisation for the Humanities and Social Sciences</t>
  </si>
  <si>
    <t>HUM3014</t>
  </si>
  <si>
    <t>Science and Technology Studies 2: Science, Power and Construction of Facts</t>
  </si>
  <si>
    <t>J. Prinz</t>
  </si>
  <si>
    <t>K. van Leeuwen</t>
  </si>
  <si>
    <t>U. Müller / T. Makori</t>
  </si>
  <si>
    <t xml:space="preserve">S. Schreibman/C. Papadopoulos       </t>
  </si>
  <si>
    <t>A. Mackenzie</t>
  </si>
  <si>
    <t xml:space="preserve"> Cultural Memory and the Politics of Visualizing the Past</t>
  </si>
  <si>
    <t>Extractivism and Environmental Justice in Latin America and the Global South</t>
  </si>
  <si>
    <t xml:space="preserve">J. Raymaekers </t>
  </si>
  <si>
    <t>B. Verspagen</t>
  </si>
  <si>
    <t xml:space="preserve">L.  Rieswijk / R. Çelebi </t>
  </si>
  <si>
    <t>Back to the Philosophers Themselves!</t>
  </si>
  <si>
    <r>
      <rPr>
        <sz val="10"/>
        <color theme="1"/>
        <rFont val="Calibri"/>
        <family val="2"/>
        <scheme val="minor"/>
      </rPr>
      <t xml:space="preserve">Literature, Art </t>
    </r>
    <r>
      <rPr>
        <sz val="10"/>
        <color indexed="8"/>
        <rFont val="Calibri"/>
        <family val="2"/>
        <scheme val="minor"/>
      </rPr>
      <t>and Psychology</t>
    </r>
  </si>
  <si>
    <t>HUM3044</t>
  </si>
  <si>
    <t>J. Vanoevelen / J. Broers</t>
  </si>
  <si>
    <t>ZE/ OBP</t>
  </si>
  <si>
    <t>JB/OBP</t>
  </si>
  <si>
    <t>SB/D4</t>
  </si>
  <si>
    <t>CC/OBP</t>
  </si>
  <si>
    <t>RvE/D4</t>
  </si>
  <si>
    <t>JH/D4</t>
  </si>
  <si>
    <t>WH/D4</t>
  </si>
  <si>
    <t>JvL/D4</t>
  </si>
  <si>
    <t>IM/D4</t>
  </si>
  <si>
    <t>APT/D4</t>
  </si>
  <si>
    <t>WS/D4</t>
  </si>
  <si>
    <t>KK/D4</t>
  </si>
  <si>
    <t>JvZ/D4</t>
  </si>
  <si>
    <t>WOS/OBP</t>
  </si>
  <si>
    <t>WodS/OBP</t>
  </si>
  <si>
    <t>Problem</t>
  </si>
  <si>
    <t>Junior Lecturers (D4) &amp; OBP</t>
  </si>
  <si>
    <t>NO</t>
  </si>
  <si>
    <t>X</t>
  </si>
  <si>
    <t>1 or 2</t>
  </si>
  <si>
    <t>x</t>
  </si>
  <si>
    <t>?</t>
  </si>
  <si>
    <t>1 to 2</t>
  </si>
  <si>
    <t>J. Moes - &gt; E. Maegherman</t>
  </si>
  <si>
    <t>J. Moes -&gt; E. Maegherman</t>
  </si>
  <si>
    <t>2 to 4</t>
  </si>
  <si>
    <t xml:space="preserve">All TG's </t>
  </si>
  <si>
    <t>C. Rausch -&gt; I. Romgens</t>
  </si>
  <si>
    <t>C. Rausch - &gt; I. Romgens</t>
  </si>
  <si>
    <t>ZE/OBP</t>
  </si>
  <si>
    <t>MM/D4</t>
  </si>
  <si>
    <t>CG/D4</t>
  </si>
  <si>
    <t>J. Moes/ E. Maegherman</t>
  </si>
  <si>
    <t>J. Moes / E. Maegherman</t>
  </si>
  <si>
    <t>FP; zeta/ceren</t>
  </si>
  <si>
    <t>CH, 1-2 TG's Global Studies</t>
  </si>
  <si>
    <t>no FP in BP 1; zeta/ceren</t>
  </si>
  <si>
    <t>LO</t>
  </si>
  <si>
    <t>CD/D4</t>
  </si>
  <si>
    <t>X?</t>
  </si>
  <si>
    <t>Max 1</t>
  </si>
  <si>
    <t>Max Colombi</t>
  </si>
  <si>
    <t>A. van der Lugt/ M. Colombi</t>
  </si>
  <si>
    <r>
      <rPr>
        <strike/>
        <sz val="10"/>
        <color indexed="8"/>
        <rFont val="Calibri"/>
        <family val="2"/>
        <scheme val="minor"/>
      </rPr>
      <t>R. van de Val</t>
    </r>
    <r>
      <rPr>
        <sz val="10"/>
        <color indexed="8"/>
        <rFont val="Calibri"/>
        <family val="2"/>
        <scheme val="minor"/>
      </rPr>
      <t>l   R. Ausmeier</t>
    </r>
  </si>
  <si>
    <t>XT/D4</t>
  </si>
  <si>
    <r>
      <rPr>
        <sz val="10"/>
        <rFont val="Calibri"/>
        <family val="2"/>
        <scheme val="minor"/>
      </rPr>
      <t>FP; zeta</t>
    </r>
    <r>
      <rPr>
        <sz val="10"/>
        <color rgb="FFFF0000"/>
        <rFont val="Calibri"/>
        <family val="2"/>
        <scheme val="minor"/>
      </rPr>
      <t>/ceren</t>
    </r>
  </si>
  <si>
    <t>W. Voncken/ Co coord. B. Schmitz</t>
  </si>
  <si>
    <t>Rikus van Eeden 2 TG's Global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</si>
</sst>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_ ;[Red]\-#,##0\ "/>
  </numFmts>
  <fonts count="8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i/>
      <sz val="8"/>
      <name val="Verdana"/>
      <family val="2"/>
    </font>
    <font>
      <i/>
      <sz val="8"/>
      <name val="Verdana"/>
      <family val="2"/>
    </font>
    <font>
      <b/>
      <sz val="8"/>
      <color indexed="8"/>
      <name val="Verdana"/>
      <family val="2"/>
    </font>
    <font>
      <b/>
      <sz val="8"/>
      <color indexed="10"/>
      <name val="Verdana"/>
      <family val="2"/>
    </font>
    <font>
      <b/>
      <i/>
      <sz val="8"/>
      <color indexed="10"/>
      <name val="Verdan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8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3"/>
      <name val="Calibri"/>
      <family val="2"/>
    </font>
    <font>
      <b/>
      <sz val="18"/>
      <color indexed="56"/>
      <name val="Cambria"/>
      <family val="2"/>
    </font>
    <font>
      <sz val="11"/>
      <color indexed="8"/>
      <name val="Calibri"/>
      <family val="2"/>
    </font>
    <font>
      <sz val="9"/>
      <color indexed="8"/>
      <name val="Verdana"/>
      <family val="2"/>
    </font>
    <font>
      <sz val="10"/>
      <name val="Verdana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11"/>
      <color theme="0"/>
      <name val="Calibri"/>
      <family val="2"/>
      <scheme val="minor"/>
    </font>
    <font>
      <sz val="9"/>
      <color theme="0"/>
      <name val="Verdana"/>
      <family val="2"/>
    </font>
    <font>
      <sz val="11"/>
      <color rgb="FF9C0006"/>
      <name val="Calibri"/>
      <family val="2"/>
      <scheme val="minor"/>
    </font>
    <font>
      <sz val="9"/>
      <color rgb="FF9C0006"/>
      <name val="Verdana"/>
      <family val="2"/>
    </font>
    <font>
      <b/>
      <sz val="11"/>
      <color rgb="FFFA7D00"/>
      <name val="Calibri"/>
      <family val="2"/>
      <scheme val="minor"/>
    </font>
    <font>
      <b/>
      <sz val="9"/>
      <color rgb="FFFA7D00"/>
      <name val="Verdana"/>
      <family val="2"/>
    </font>
    <font>
      <b/>
      <sz val="11"/>
      <color theme="0"/>
      <name val="Calibri"/>
      <family val="2"/>
      <scheme val="minor"/>
    </font>
    <font>
      <b/>
      <sz val="9"/>
      <color theme="0"/>
      <name val="Verdana"/>
      <family val="2"/>
    </font>
    <font>
      <i/>
      <sz val="11"/>
      <color rgb="FF7F7F7F"/>
      <name val="Calibri"/>
      <family val="2"/>
      <scheme val="minor"/>
    </font>
    <font>
      <i/>
      <sz val="9"/>
      <color rgb="FF7F7F7F"/>
      <name val="Verdana"/>
      <family val="2"/>
    </font>
    <font>
      <sz val="11"/>
      <color rgb="FF006100"/>
      <name val="Calibri"/>
      <family val="2"/>
      <scheme val="minor"/>
    </font>
    <font>
      <sz val="9"/>
      <color rgb="FF006100"/>
      <name val="Verdana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Verdana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Verdana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Verdana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rgb="FF3F3F76"/>
      <name val="Verdana"/>
      <family val="2"/>
    </font>
    <font>
      <sz val="11"/>
      <color rgb="FFFA7D00"/>
      <name val="Calibri"/>
      <family val="2"/>
      <scheme val="minor"/>
    </font>
    <font>
      <sz val="9"/>
      <color rgb="FFFA7D00"/>
      <name val="Verdana"/>
      <family val="2"/>
    </font>
    <font>
      <sz val="11"/>
      <color rgb="FF9C6500"/>
      <name val="Calibri"/>
      <family val="2"/>
      <scheme val="minor"/>
    </font>
    <font>
      <sz val="9"/>
      <color rgb="FF9C6500"/>
      <name val="Verdana"/>
      <family val="2"/>
    </font>
    <font>
      <b/>
      <sz val="11"/>
      <color rgb="FF3F3F3F"/>
      <name val="Calibri"/>
      <family val="2"/>
      <scheme val="minor"/>
    </font>
    <font>
      <b/>
      <sz val="9"/>
      <color rgb="FF3F3F3F"/>
      <name val="Verdana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11"/>
      <color rgb="FFFF0000"/>
      <name val="Calibri"/>
      <family val="2"/>
      <scheme val="minor"/>
    </font>
    <font>
      <sz val="9"/>
      <color rgb="FFFF0000"/>
      <name val="Verdana"/>
      <family val="2"/>
    </font>
    <font>
      <sz val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trike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rgb="FFFF0000"/>
      <name val="Verdana"/>
      <family val="2"/>
    </font>
    <font>
      <sz val="8"/>
      <color rgb="FFFF0000"/>
      <name val="Verdana"/>
      <family val="2"/>
    </font>
    <font>
      <b/>
      <sz val="10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31"/>
      </patternFill>
    </fill>
    <fill>
      <patternFill patternType="solid">
        <fgColor indexed="30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25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46"/>
      </patternFill>
    </fill>
    <fill>
      <patternFill patternType="solid">
        <fgColor indexed="36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C831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5">
    <xf numFmtId="0" fontId="0" fillId="0" borderId="0"/>
    <xf numFmtId="0" fontId="41" fillId="29" borderId="0" applyNumberFormat="0" applyBorder="0" applyAlignment="0" applyProtection="0"/>
    <xf numFmtId="0" fontId="42" fillId="29" borderId="0" applyNumberFormat="0" applyBorder="0" applyAlignment="0" applyProtection="0"/>
    <xf numFmtId="0" fontId="41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31" borderId="0" applyNumberFormat="0" applyBorder="0" applyAlignment="0" applyProtection="0"/>
    <xf numFmtId="0" fontId="42" fillId="31" borderId="0" applyNumberFormat="0" applyBorder="0" applyAlignment="0" applyProtection="0"/>
    <xf numFmtId="0" fontId="41" fillId="32" borderId="0" applyNumberFormat="0" applyBorder="0" applyAlignment="0" applyProtection="0"/>
    <xf numFmtId="0" fontId="42" fillId="32" borderId="0" applyNumberFormat="0" applyBorder="0" applyAlignment="0" applyProtection="0"/>
    <xf numFmtId="0" fontId="41" fillId="33" borderId="0" applyNumberFormat="0" applyBorder="0" applyAlignment="0" applyProtection="0"/>
    <xf numFmtId="0" fontId="42" fillId="33" borderId="0" applyNumberFormat="0" applyBorder="0" applyAlignment="0" applyProtection="0"/>
    <xf numFmtId="0" fontId="41" fillId="34" borderId="0" applyNumberFormat="0" applyBorder="0" applyAlignment="0" applyProtection="0"/>
    <xf numFmtId="0" fontId="42" fillId="34" borderId="0" applyNumberFormat="0" applyBorder="0" applyAlignment="0" applyProtection="0"/>
    <xf numFmtId="0" fontId="41" fillId="35" borderId="0" applyNumberFormat="0" applyBorder="0" applyAlignment="0" applyProtection="0"/>
    <xf numFmtId="0" fontId="42" fillId="35" borderId="0" applyNumberFormat="0" applyBorder="0" applyAlignment="0" applyProtection="0"/>
    <xf numFmtId="0" fontId="41" fillId="36" borderId="0" applyNumberFormat="0" applyBorder="0" applyAlignment="0" applyProtection="0"/>
    <xf numFmtId="0" fontId="42" fillId="36" borderId="0" applyNumberFormat="0" applyBorder="0" applyAlignment="0" applyProtection="0"/>
    <xf numFmtId="0" fontId="41" fillId="37" borderId="0" applyNumberFormat="0" applyBorder="0" applyAlignment="0" applyProtection="0"/>
    <xf numFmtId="0" fontId="42" fillId="37" borderId="0" applyNumberFormat="0" applyBorder="0" applyAlignment="0" applyProtection="0"/>
    <xf numFmtId="0" fontId="41" fillId="38" borderId="0" applyNumberFormat="0" applyBorder="0" applyAlignment="0" applyProtection="0"/>
    <xf numFmtId="0" fontId="42" fillId="38" borderId="0" applyNumberFormat="0" applyBorder="0" applyAlignment="0" applyProtection="0"/>
    <xf numFmtId="0" fontId="41" fillId="39" borderId="0" applyNumberFormat="0" applyBorder="0" applyAlignment="0" applyProtection="0"/>
    <xf numFmtId="0" fontId="42" fillId="39" borderId="0" applyNumberFormat="0" applyBorder="0" applyAlignment="0" applyProtection="0"/>
    <xf numFmtId="0" fontId="41" fillId="40" borderId="0" applyNumberFormat="0" applyBorder="0" applyAlignment="0" applyProtection="0"/>
    <xf numFmtId="0" fontId="42" fillId="40" borderId="0" applyNumberFormat="0" applyBorder="0" applyAlignment="0" applyProtection="0"/>
    <xf numFmtId="0" fontId="43" fillId="41" borderId="0" applyNumberFormat="0" applyBorder="0" applyAlignment="0" applyProtection="0"/>
    <xf numFmtId="0" fontId="44" fillId="41" borderId="0" applyNumberFormat="0" applyBorder="0" applyAlignment="0" applyProtection="0"/>
    <xf numFmtId="0" fontId="43" fillId="42" borderId="0" applyNumberFormat="0" applyBorder="0" applyAlignment="0" applyProtection="0"/>
    <xf numFmtId="0" fontId="44" fillId="42" borderId="0" applyNumberFormat="0" applyBorder="0" applyAlignment="0" applyProtection="0"/>
    <xf numFmtId="0" fontId="43" fillId="43" borderId="0" applyNumberFormat="0" applyBorder="0" applyAlignment="0" applyProtection="0"/>
    <xf numFmtId="0" fontId="44" fillId="43" borderId="0" applyNumberFormat="0" applyBorder="0" applyAlignment="0" applyProtection="0"/>
    <xf numFmtId="0" fontId="43" fillId="44" borderId="0" applyNumberFormat="0" applyBorder="0" applyAlignment="0" applyProtection="0"/>
    <xf numFmtId="0" fontId="44" fillId="44" borderId="0" applyNumberFormat="0" applyBorder="0" applyAlignment="0" applyProtection="0"/>
    <xf numFmtId="0" fontId="43" fillId="45" borderId="0" applyNumberFormat="0" applyBorder="0" applyAlignment="0" applyProtection="0"/>
    <xf numFmtId="0" fontId="44" fillId="45" borderId="0" applyNumberFormat="0" applyBorder="0" applyAlignment="0" applyProtection="0"/>
    <xf numFmtId="0" fontId="43" fillId="46" borderId="0" applyNumberFormat="0" applyBorder="0" applyAlignment="0" applyProtection="0"/>
    <xf numFmtId="0" fontId="44" fillId="46" borderId="0" applyNumberFormat="0" applyBorder="0" applyAlignment="0" applyProtection="0"/>
    <xf numFmtId="0" fontId="20" fillId="9" borderId="0" applyNumberFormat="0" applyBorder="0" applyAlignment="0" applyProtection="0"/>
    <xf numFmtId="0" fontId="20" fillId="7" borderId="0" applyNumberFormat="0" applyBorder="0" applyAlignment="0" applyProtection="0"/>
    <xf numFmtId="0" fontId="21" fillId="10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20" fillId="12" borderId="0" applyNumberFormat="0" applyBorder="0" applyAlignment="0" applyProtection="0"/>
    <xf numFmtId="0" fontId="20" fillId="5" borderId="0" applyNumberFormat="0" applyBorder="0" applyAlignment="0" applyProtection="0"/>
    <xf numFmtId="0" fontId="21" fillId="13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1" fillId="16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20" fillId="4" borderId="0" applyNumberFormat="0" applyBorder="0" applyAlignment="0" applyProtection="0"/>
    <xf numFmtId="0" fontId="20" fillId="9" borderId="0" applyNumberFormat="0" applyBorder="0" applyAlignment="0" applyProtection="0"/>
    <xf numFmtId="0" fontId="21" fillId="7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20" fillId="3" borderId="0" applyNumberFormat="0" applyBorder="0" applyAlignment="0" applyProtection="0"/>
    <xf numFmtId="0" fontId="20" fillId="19" borderId="0" applyNumberFormat="0" applyBorder="0" applyAlignment="0" applyProtection="0"/>
    <xf numFmtId="0" fontId="21" fillId="20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4" fillId="52" borderId="0" applyNumberFormat="0" applyBorder="0" applyAlignment="0" applyProtection="0"/>
    <xf numFmtId="0" fontId="44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5" fillId="53" borderId="0" applyNumberFormat="0" applyBorder="0" applyAlignment="0" applyProtection="0"/>
    <xf numFmtId="0" fontId="46" fillId="53" borderId="0" applyNumberFormat="0" applyBorder="0" applyAlignment="0" applyProtection="0"/>
    <xf numFmtId="0" fontId="31" fillId="5" borderId="1" applyNumberFormat="0" applyAlignment="0" applyProtection="0"/>
    <xf numFmtId="0" fontId="36" fillId="0" borderId="0" applyNumberFormat="0" applyFill="0" applyBorder="0" applyAlignment="0" applyProtection="0"/>
    <xf numFmtId="0" fontId="47" fillId="54" borderId="45" applyNumberFormat="0" applyAlignment="0" applyProtection="0"/>
    <xf numFmtId="0" fontId="48" fillId="54" borderId="45" applyNumberFormat="0" applyAlignment="0" applyProtection="0"/>
    <xf numFmtId="0" fontId="49" fillId="55" borderId="46" applyNumberFormat="0" applyAlignment="0" applyProtection="0"/>
    <xf numFmtId="0" fontId="50" fillId="55" borderId="46" applyNumberFormat="0" applyAlignment="0" applyProtection="0"/>
    <xf numFmtId="0" fontId="22" fillId="13" borderId="2" applyNumberFormat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5" fillId="0" borderId="3" applyNumberFormat="0" applyFill="0" applyAlignment="0" applyProtection="0"/>
    <xf numFmtId="0" fontId="24" fillId="15" borderId="0" applyNumberFormat="0" applyBorder="0" applyAlignment="0" applyProtection="0"/>
    <xf numFmtId="0" fontId="53" fillId="56" borderId="0" applyNumberFormat="0" applyBorder="0" applyAlignment="0" applyProtection="0"/>
    <xf numFmtId="0" fontId="54" fillId="56" borderId="0" applyNumberFormat="0" applyBorder="0" applyAlignment="0" applyProtection="0"/>
    <xf numFmtId="0" fontId="55" fillId="0" borderId="47" applyNumberFormat="0" applyFill="0" applyAlignment="0" applyProtection="0"/>
    <xf numFmtId="0" fontId="56" fillId="0" borderId="47" applyNumberFormat="0" applyFill="0" applyAlignment="0" applyProtection="0"/>
    <xf numFmtId="0" fontId="57" fillId="0" borderId="48" applyNumberFormat="0" applyFill="0" applyAlignment="0" applyProtection="0"/>
    <xf numFmtId="0" fontId="58" fillId="0" borderId="48" applyNumberFormat="0" applyFill="0" applyAlignment="0" applyProtection="0"/>
    <xf numFmtId="0" fontId="59" fillId="0" borderId="49" applyNumberFormat="0" applyFill="0" applyAlignment="0" applyProtection="0"/>
    <xf numFmtId="0" fontId="60" fillId="0" borderId="49" applyNumberFormat="0" applyFill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57" borderId="45" applyNumberFormat="0" applyAlignment="0" applyProtection="0"/>
    <xf numFmtId="0" fontId="63" fillId="57" borderId="45" applyNumberFormat="0" applyAlignment="0" applyProtection="0"/>
    <xf numFmtId="0" fontId="25" fillId="2" borderId="1" applyNumberFormat="0" applyAlignment="0" applyProtection="0"/>
    <xf numFmtId="0" fontId="32" fillId="0" borderId="5" applyNumberFormat="0" applyFill="0" applyAlignment="0" applyProtection="0"/>
    <xf numFmtId="0" fontId="33" fillId="0" borderId="4" applyNumberFormat="0" applyFill="0" applyAlignment="0" applyProtection="0"/>
    <xf numFmtId="0" fontId="34" fillId="0" borderId="6" applyNumberFormat="0" applyFill="0" applyAlignment="0" applyProtection="0"/>
    <xf numFmtId="0" fontId="34" fillId="0" borderId="0" applyNumberFormat="0" applyFill="0" applyBorder="0" applyAlignment="0" applyProtection="0"/>
    <xf numFmtId="0" fontId="64" fillId="0" borderId="50" applyNumberFormat="0" applyFill="0" applyAlignment="0" applyProtection="0"/>
    <xf numFmtId="0" fontId="65" fillId="0" borderId="50" applyNumberFormat="0" applyFill="0" applyAlignment="0" applyProtection="0"/>
    <xf numFmtId="0" fontId="26" fillId="6" borderId="0" applyNumberFormat="0" applyBorder="0" applyAlignment="0" applyProtection="0"/>
    <xf numFmtId="0" fontId="66" fillId="58" borderId="0" applyNumberFormat="0" applyBorder="0" applyAlignment="0" applyProtection="0"/>
    <xf numFmtId="0" fontId="67" fillId="58" borderId="0" applyNumberFormat="0" applyBorder="0" applyAlignment="0" applyProtection="0"/>
    <xf numFmtId="0" fontId="18" fillId="0" borderId="0"/>
    <xf numFmtId="0" fontId="15" fillId="0" borderId="0"/>
    <xf numFmtId="0" fontId="42" fillId="0" borderId="0"/>
    <xf numFmtId="0" fontId="18" fillId="0" borderId="0"/>
    <xf numFmtId="0" fontId="18" fillId="0" borderId="0"/>
    <xf numFmtId="0" fontId="41" fillId="0" borderId="0"/>
    <xf numFmtId="0" fontId="15" fillId="0" borderId="0"/>
    <xf numFmtId="0" fontId="15" fillId="0" borderId="0"/>
    <xf numFmtId="0" fontId="41" fillId="0" borderId="0"/>
    <xf numFmtId="0" fontId="15" fillId="0" borderId="0"/>
    <xf numFmtId="0" fontId="15" fillId="0" borderId="0"/>
    <xf numFmtId="0" fontId="41" fillId="0" borderId="0"/>
    <xf numFmtId="0" fontId="18" fillId="0" borderId="0"/>
    <xf numFmtId="0" fontId="18" fillId="0" borderId="0"/>
    <xf numFmtId="0" fontId="20" fillId="0" borderId="0"/>
    <xf numFmtId="0" fontId="40" fillId="0" borderId="0"/>
    <xf numFmtId="0" fontId="18" fillId="0" borderId="0"/>
    <xf numFmtId="0" fontId="18" fillId="0" borderId="0"/>
    <xf numFmtId="0" fontId="4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7" fillId="59" borderId="51" applyNumberFormat="0" applyFont="0" applyAlignment="0" applyProtection="0"/>
    <xf numFmtId="0" fontId="37" fillId="59" borderId="51" applyNumberFormat="0" applyFont="0" applyAlignment="0" applyProtection="0"/>
    <xf numFmtId="0" fontId="37" fillId="59" borderId="51" applyNumberFormat="0" applyFont="0" applyAlignment="0" applyProtection="0"/>
    <xf numFmtId="0" fontId="20" fillId="3" borderId="7" applyNumberFormat="0" applyFont="0" applyAlignment="0" applyProtection="0"/>
    <xf numFmtId="0" fontId="20" fillId="59" borderId="51" applyNumberFormat="0" applyFont="0" applyAlignment="0" applyProtection="0"/>
    <xf numFmtId="0" fontId="20" fillId="59" borderId="51" applyNumberFormat="0" applyFont="0" applyAlignment="0" applyProtection="0"/>
    <xf numFmtId="0" fontId="20" fillId="3" borderId="7" applyNumberFormat="0" applyFont="0" applyAlignment="0" applyProtection="0"/>
    <xf numFmtId="0" fontId="20" fillId="59" borderId="51" applyNumberFormat="0" applyFont="0" applyAlignment="0" applyProtection="0"/>
    <xf numFmtId="0" fontId="38" fillId="59" borderId="51" applyNumberFormat="0" applyFont="0" applyAlignment="0" applyProtection="0"/>
    <xf numFmtId="0" fontId="41" fillId="59" borderId="51" applyNumberFormat="0" applyFont="0" applyAlignment="0" applyProtection="0"/>
    <xf numFmtId="0" fontId="20" fillId="3" borderId="7" applyNumberFormat="0" applyFont="0" applyAlignment="0" applyProtection="0"/>
    <xf numFmtId="0" fontId="30" fillId="12" borderId="0" applyNumberFormat="0" applyBorder="0" applyAlignment="0" applyProtection="0"/>
    <xf numFmtId="0" fontId="68" fillId="54" borderId="52" applyNumberFormat="0" applyAlignment="0" applyProtection="0"/>
    <xf numFmtId="0" fontId="69" fillId="54" borderId="52" applyNumberForma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71" fillId="0" borderId="53" applyNumberFormat="0" applyFill="0" applyAlignment="0" applyProtection="0"/>
    <xf numFmtId="0" fontId="72" fillId="0" borderId="53" applyNumberFormat="0" applyFill="0" applyAlignment="0" applyProtection="0"/>
    <xf numFmtId="0" fontId="27" fillId="5" borderId="8" applyNumberFormat="0" applyAlignment="0" applyProtection="0"/>
    <xf numFmtId="0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5" fillId="0" borderId="47" applyNumberFormat="0" applyFill="0" applyAlignment="0" applyProtection="0"/>
    <xf numFmtId="0" fontId="57" fillId="0" borderId="48" applyNumberFormat="0" applyFill="0" applyAlignment="0" applyProtection="0"/>
    <xf numFmtId="0" fontId="59" fillId="0" borderId="49" applyNumberFormat="0" applyFill="0" applyAlignment="0" applyProtection="0"/>
    <xf numFmtId="0" fontId="59" fillId="0" borderId="0" applyNumberFormat="0" applyFill="0" applyBorder="0" applyAlignment="0" applyProtection="0"/>
    <xf numFmtId="0" fontId="53" fillId="56" borderId="0" applyNumberFormat="0" applyBorder="0" applyAlignment="0" applyProtection="0"/>
    <xf numFmtId="0" fontId="45" fillId="53" borderId="0" applyNumberFormat="0" applyBorder="0" applyAlignment="0" applyProtection="0"/>
    <xf numFmtId="0" fontId="66" fillId="58" borderId="0" applyNumberFormat="0" applyBorder="0" applyAlignment="0" applyProtection="0"/>
    <xf numFmtId="0" fontId="62" fillId="57" borderId="45" applyNumberFormat="0" applyAlignment="0" applyProtection="0"/>
    <xf numFmtId="0" fontId="68" fillId="54" borderId="52" applyNumberFormat="0" applyAlignment="0" applyProtection="0"/>
    <xf numFmtId="0" fontId="47" fillId="54" borderId="45" applyNumberFormat="0" applyAlignment="0" applyProtection="0"/>
    <xf numFmtId="0" fontId="64" fillId="0" borderId="50" applyNumberFormat="0" applyFill="0" applyAlignment="0" applyProtection="0"/>
    <xf numFmtId="0" fontId="49" fillId="55" borderId="46" applyNumberFormat="0" applyAlignment="0" applyProtection="0"/>
    <xf numFmtId="0" fontId="7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1" fillId="0" borderId="53" applyNumberFormat="0" applyFill="0" applyAlignment="0" applyProtection="0"/>
    <xf numFmtId="0" fontId="43" fillId="47" borderId="0" applyNumberFormat="0" applyBorder="0" applyAlignment="0" applyProtection="0"/>
    <xf numFmtId="0" fontId="3" fillId="29" borderId="0" applyNumberFormat="0" applyBorder="0" applyAlignment="0" applyProtection="0"/>
    <xf numFmtId="0" fontId="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48" borderId="0" applyNumberFormat="0" applyBorder="0" applyAlignment="0" applyProtection="0"/>
    <xf numFmtId="0" fontId="3" fillId="30" borderId="0" applyNumberFormat="0" applyBorder="0" applyAlignment="0" applyProtection="0"/>
    <xf numFmtId="0" fontId="3" fillId="36" borderId="0" applyNumberFormat="0" applyBorder="0" applyAlignment="0" applyProtection="0"/>
    <xf numFmtId="0" fontId="43" fillId="42" borderId="0" applyNumberFormat="0" applyBorder="0" applyAlignment="0" applyProtection="0"/>
    <xf numFmtId="0" fontId="43" fillId="49" borderId="0" applyNumberFormat="0" applyBorder="0" applyAlignment="0" applyProtection="0"/>
    <xf numFmtId="0" fontId="3" fillId="31" borderId="0" applyNumberFormat="0" applyBorder="0" applyAlignment="0" applyProtection="0"/>
    <xf numFmtId="0" fontId="3" fillId="37" borderId="0" applyNumberFormat="0" applyBorder="0" applyAlignment="0" applyProtection="0"/>
    <xf numFmtId="0" fontId="43" fillId="43" borderId="0" applyNumberFormat="0" applyBorder="0" applyAlignment="0" applyProtection="0"/>
    <xf numFmtId="0" fontId="43" fillId="50" borderId="0" applyNumberFormat="0" applyBorder="0" applyAlignment="0" applyProtection="0"/>
    <xf numFmtId="0" fontId="3" fillId="32" borderId="0" applyNumberFormat="0" applyBorder="0" applyAlignment="0" applyProtection="0"/>
    <xf numFmtId="0" fontId="3" fillId="38" borderId="0" applyNumberFormat="0" applyBorder="0" applyAlignment="0" applyProtection="0"/>
    <xf numFmtId="0" fontId="43" fillId="44" borderId="0" applyNumberFormat="0" applyBorder="0" applyAlignment="0" applyProtection="0"/>
    <xf numFmtId="0" fontId="43" fillId="51" borderId="0" applyNumberFormat="0" applyBorder="0" applyAlignment="0" applyProtection="0"/>
    <xf numFmtId="0" fontId="3" fillId="33" borderId="0" applyNumberFormat="0" applyBorder="0" applyAlignment="0" applyProtection="0"/>
    <xf numFmtId="0" fontId="3" fillId="39" borderId="0" applyNumberFormat="0" applyBorder="0" applyAlignment="0" applyProtection="0"/>
    <xf numFmtId="0" fontId="43" fillId="45" borderId="0" applyNumberFormat="0" applyBorder="0" applyAlignment="0" applyProtection="0"/>
    <xf numFmtId="0" fontId="43" fillId="52" borderId="0" applyNumberFormat="0" applyBorder="0" applyAlignment="0" applyProtection="0"/>
    <xf numFmtId="0" fontId="3" fillId="34" borderId="0" applyNumberFormat="0" applyBorder="0" applyAlignment="0" applyProtection="0"/>
    <xf numFmtId="0" fontId="3" fillId="40" borderId="0" applyNumberFormat="0" applyBorder="0" applyAlignment="0" applyProtection="0"/>
    <xf numFmtId="0" fontId="43" fillId="46" borderId="0" applyNumberFormat="0" applyBorder="0" applyAlignment="0" applyProtection="0"/>
    <xf numFmtId="0" fontId="3" fillId="0" borderId="0"/>
    <xf numFmtId="0" fontId="3" fillId="59" borderId="51" applyNumberFormat="0" applyFont="0" applyAlignment="0" applyProtection="0"/>
    <xf numFmtId="0" fontId="2" fillId="0" borderId="0"/>
  </cellStyleXfs>
  <cellXfs count="335">
    <xf numFmtId="0" fontId="0" fillId="0" borderId="0" xfId="0"/>
    <xf numFmtId="0" fontId="8" fillId="0" borderId="0" xfId="0" applyFont="1" applyBorder="1"/>
    <xf numFmtId="0" fontId="8" fillId="0" borderId="0" xfId="0" applyFont="1" applyBorder="1" applyAlignment="1">
      <alignment horizontal="right"/>
    </xf>
    <xf numFmtId="0" fontId="9" fillId="0" borderId="0" xfId="0" applyFont="1" applyBorder="1"/>
    <xf numFmtId="0" fontId="8" fillId="0" borderId="0" xfId="0" applyFont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0" applyFont="1" applyFill="1"/>
    <xf numFmtId="0" fontId="9" fillId="21" borderId="12" xfId="0" applyFont="1" applyFill="1" applyBorder="1" applyAlignment="1"/>
    <xf numFmtId="0" fontId="9" fillId="21" borderId="13" xfId="0" applyFont="1" applyFill="1" applyBorder="1" applyAlignment="1"/>
    <xf numFmtId="0" fontId="9" fillId="21" borderId="12" xfId="0" applyFont="1" applyFill="1" applyBorder="1" applyAlignment="1">
      <alignment horizontal="right"/>
    </xf>
    <xf numFmtId="0" fontId="9" fillId="21" borderId="14" xfId="0" applyFont="1" applyFill="1" applyBorder="1" applyAlignment="1"/>
    <xf numFmtId="0" fontId="10" fillId="21" borderId="13" xfId="0" applyFont="1" applyFill="1" applyBorder="1" applyAlignment="1">
      <alignment horizontal="left"/>
    </xf>
    <xf numFmtId="0" fontId="10" fillId="21" borderId="14" xfId="0" applyFont="1" applyFill="1" applyBorder="1" applyAlignment="1">
      <alignment horizontal="left"/>
    </xf>
    <xf numFmtId="0" fontId="9" fillId="21" borderId="11" xfId="0" applyFont="1" applyFill="1" applyBorder="1"/>
    <xf numFmtId="0" fontId="9" fillId="21" borderId="15" xfId="0" applyFont="1" applyFill="1" applyBorder="1"/>
    <xf numFmtId="0" fontId="9" fillId="21" borderId="16" xfId="0" applyFont="1" applyFill="1" applyBorder="1" applyAlignment="1">
      <alignment horizontal="right"/>
    </xf>
    <xf numFmtId="0" fontId="9" fillId="21" borderId="11" xfId="0" applyFont="1" applyFill="1" applyBorder="1" applyAlignment="1">
      <alignment horizontal="center"/>
    </xf>
    <xf numFmtId="0" fontId="9" fillId="21" borderId="17" xfId="0" applyFont="1" applyFill="1" applyBorder="1" applyAlignment="1">
      <alignment horizontal="center"/>
    </xf>
    <xf numFmtId="0" fontId="10" fillId="21" borderId="11" xfId="0" applyFont="1" applyFill="1" applyBorder="1" applyAlignment="1">
      <alignment horizontal="center"/>
    </xf>
    <xf numFmtId="0" fontId="10" fillId="21" borderId="17" xfId="0" applyFont="1" applyFill="1" applyBorder="1" applyAlignment="1">
      <alignment horizontal="center"/>
    </xf>
    <xf numFmtId="0" fontId="9" fillId="21" borderId="18" xfId="0" applyFont="1" applyFill="1" applyBorder="1" applyAlignment="1">
      <alignment horizontal="center"/>
    </xf>
    <xf numFmtId="0" fontId="8" fillId="0" borderId="0" xfId="0" applyFont="1" applyFill="1" applyBorder="1"/>
    <xf numFmtId="0" fontId="9" fillId="21" borderId="19" xfId="0" applyFont="1" applyFill="1" applyBorder="1"/>
    <xf numFmtId="0" fontId="9" fillId="21" borderId="20" xfId="0" applyFont="1" applyFill="1" applyBorder="1"/>
    <xf numFmtId="164" fontId="8" fillId="0" borderId="11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right" vertical="center"/>
    </xf>
    <xf numFmtId="164" fontId="8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0" fontId="8" fillId="23" borderId="21" xfId="0" applyFont="1" applyFill="1" applyBorder="1"/>
    <xf numFmtId="0" fontId="8" fillId="23" borderId="21" xfId="0" applyFont="1" applyFill="1" applyBorder="1" applyAlignment="1">
      <alignment horizontal="right"/>
    </xf>
    <xf numFmtId="0" fontId="9" fillId="23" borderId="21" xfId="0" applyFont="1" applyFill="1" applyBorder="1"/>
    <xf numFmtId="0" fontId="9" fillId="0" borderId="0" xfId="0" applyFont="1"/>
    <xf numFmtId="0" fontId="8" fillId="0" borderId="0" xfId="0" applyFont="1"/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10" fillId="0" borderId="0" xfId="0" applyFont="1"/>
    <xf numFmtId="1" fontId="8" fillId="0" borderId="0" xfId="0" applyNumberFormat="1" applyFont="1"/>
    <xf numFmtId="1" fontId="10" fillId="0" borderId="0" xfId="0" applyNumberFormat="1" applyFont="1" applyFill="1"/>
    <xf numFmtId="0" fontId="8" fillId="0" borderId="22" xfId="0" applyFont="1" applyBorder="1"/>
    <xf numFmtId="0" fontId="8" fillId="0" borderId="22" xfId="0" applyFont="1" applyFill="1" applyBorder="1"/>
    <xf numFmtId="0" fontId="10" fillId="0" borderId="23" xfId="0" applyFont="1" applyBorder="1"/>
    <xf numFmtId="0" fontId="8" fillId="0" borderId="23" xfId="0" applyFont="1" applyBorder="1"/>
    <xf numFmtId="3" fontId="8" fillId="0" borderId="23" xfId="0" applyNumberFormat="1" applyFont="1" applyFill="1" applyBorder="1"/>
    <xf numFmtId="3" fontId="8" fillId="0" borderId="23" xfId="0" applyNumberFormat="1" applyFont="1" applyBorder="1"/>
    <xf numFmtId="0" fontId="10" fillId="22" borderId="23" xfId="0" applyFont="1" applyFill="1" applyBorder="1"/>
    <xf numFmtId="3" fontId="8" fillId="22" borderId="23" xfId="0" applyNumberFormat="1" applyFont="1" applyFill="1" applyBorder="1"/>
    <xf numFmtId="0" fontId="8" fillId="22" borderId="23" xfId="0" applyFont="1" applyFill="1" applyBorder="1"/>
    <xf numFmtId="0" fontId="11" fillId="22" borderId="23" xfId="0" applyFont="1" applyFill="1" applyBorder="1"/>
    <xf numFmtId="3" fontId="13" fillId="22" borderId="23" xfId="0" applyNumberFormat="1" applyFont="1" applyFill="1" applyBorder="1"/>
    <xf numFmtId="3" fontId="9" fillId="22" borderId="23" xfId="0" applyNumberFormat="1" applyFont="1" applyFill="1" applyBorder="1"/>
    <xf numFmtId="0" fontId="11" fillId="22" borderId="24" xfId="0" applyFont="1" applyFill="1" applyBorder="1"/>
    <xf numFmtId="3" fontId="8" fillId="22" borderId="24" xfId="0" applyNumberFormat="1" applyFont="1" applyFill="1" applyBorder="1"/>
    <xf numFmtId="0" fontId="11" fillId="0" borderId="23" xfId="0" applyFont="1" applyBorder="1"/>
    <xf numFmtId="3" fontId="8" fillId="24" borderId="23" xfId="0" applyNumberFormat="1" applyFont="1" applyFill="1" applyBorder="1"/>
    <xf numFmtId="0" fontId="11" fillId="24" borderId="23" xfId="0" applyFont="1" applyFill="1" applyBorder="1"/>
    <xf numFmtId="0" fontId="10" fillId="21" borderId="23" xfId="0" applyFont="1" applyFill="1" applyBorder="1"/>
    <xf numFmtId="3" fontId="8" fillId="21" borderId="23" xfId="0" applyNumberFormat="1" applyFont="1" applyFill="1" applyBorder="1"/>
    <xf numFmtId="0" fontId="8" fillId="21" borderId="23" xfId="0" applyFont="1" applyFill="1" applyBorder="1"/>
    <xf numFmtId="0" fontId="8" fillId="0" borderId="25" xfId="0" applyFont="1" applyBorder="1"/>
    <xf numFmtId="3" fontId="8" fillId="0" borderId="25" xfId="0" applyNumberFormat="1" applyFont="1" applyFill="1" applyBorder="1"/>
    <xf numFmtId="3" fontId="8" fillId="0" borderId="25" xfId="0" applyNumberFormat="1" applyFont="1" applyBorder="1"/>
    <xf numFmtId="0" fontId="10" fillId="0" borderId="26" xfId="0" applyFont="1" applyFill="1" applyBorder="1"/>
    <xf numFmtId="0" fontId="10" fillId="0" borderId="27" xfId="0" applyFont="1" applyFill="1" applyBorder="1"/>
    <xf numFmtId="3" fontId="10" fillId="0" borderId="27" xfId="0" applyNumberFormat="1" applyFont="1" applyFill="1" applyBorder="1"/>
    <xf numFmtId="0" fontId="10" fillId="0" borderId="28" xfId="0" applyFont="1" applyFill="1" applyBorder="1"/>
    <xf numFmtId="0" fontId="14" fillId="0" borderId="0" xfId="0" applyFont="1" applyFill="1" applyBorder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21" borderId="15" xfId="0" applyFont="1" applyFill="1" applyBorder="1" applyAlignment="1">
      <alignment horizontal="center"/>
    </xf>
    <xf numFmtId="1" fontId="11" fillId="22" borderId="16" xfId="0" applyNumberFormat="1" applyFont="1" applyFill="1" applyBorder="1" applyAlignment="1">
      <alignment horizontal="center"/>
    </xf>
    <xf numFmtId="1" fontId="11" fillId="22" borderId="11" xfId="0" applyNumberFormat="1" applyFont="1" applyFill="1" applyBorder="1" applyAlignment="1">
      <alignment horizontal="center"/>
    </xf>
    <xf numFmtId="1" fontId="11" fillId="22" borderId="18" xfId="0" applyNumberFormat="1" applyFont="1" applyFill="1" applyBorder="1" applyAlignment="1">
      <alignment horizontal="center"/>
    </xf>
    <xf numFmtId="0" fontId="9" fillId="21" borderId="35" xfId="0" applyFont="1" applyFill="1" applyBorder="1" applyAlignment="1"/>
    <xf numFmtId="0" fontId="9" fillId="21" borderId="36" xfId="0" applyFont="1" applyFill="1" applyBorder="1" applyAlignment="1">
      <alignment horizontal="center"/>
    </xf>
    <xf numFmtId="1" fontId="9" fillId="0" borderId="36" xfId="0" applyNumberFormat="1" applyFont="1" applyFill="1" applyBorder="1" applyAlignment="1">
      <alignment horizontal="center"/>
    </xf>
    <xf numFmtId="0" fontId="10" fillId="21" borderId="18" xfId="0" applyFont="1" applyFill="1" applyBorder="1" applyAlignment="1">
      <alignment horizontal="center"/>
    </xf>
    <xf numFmtId="0" fontId="9" fillId="21" borderId="32" xfId="0" applyFont="1" applyFill="1" applyBorder="1" applyAlignment="1"/>
    <xf numFmtId="0" fontId="9" fillId="21" borderId="16" xfId="0" applyFont="1" applyFill="1" applyBorder="1" applyAlignment="1">
      <alignment horizontal="center"/>
    </xf>
    <xf numFmtId="0" fontId="11" fillId="22" borderId="25" xfId="0" applyFont="1" applyFill="1" applyBorder="1"/>
    <xf numFmtId="3" fontId="8" fillId="22" borderId="25" xfId="0" applyNumberFormat="1" applyFont="1" applyFill="1" applyBorder="1"/>
    <xf numFmtId="0" fontId="11" fillId="24" borderId="24" xfId="0" applyFont="1" applyFill="1" applyBorder="1"/>
    <xf numFmtId="3" fontId="8" fillId="24" borderId="24" xfId="0" applyNumberFormat="1" applyFont="1" applyFill="1" applyBorder="1"/>
    <xf numFmtId="0" fontId="11" fillId="25" borderId="24" xfId="0" applyFont="1" applyFill="1" applyBorder="1"/>
    <xf numFmtId="3" fontId="8" fillId="25" borderId="24" xfId="0" applyNumberFormat="1" applyFont="1" applyFill="1" applyBorder="1"/>
    <xf numFmtId="0" fontId="8" fillId="21" borderId="24" xfId="0" applyFont="1" applyFill="1" applyBorder="1"/>
    <xf numFmtId="3" fontId="8" fillId="21" borderId="24" xfId="0" applyNumberFormat="1" applyFont="1" applyFill="1" applyBorder="1"/>
    <xf numFmtId="165" fontId="10" fillId="0" borderId="37" xfId="0" applyNumberFormat="1" applyFont="1" applyFill="1" applyBorder="1"/>
    <xf numFmtId="3" fontId="10" fillId="26" borderId="23" xfId="0" applyNumberFormat="1" applyFont="1" applyFill="1" applyBorder="1"/>
    <xf numFmtId="0" fontId="10" fillId="26" borderId="23" xfId="0" applyFont="1" applyFill="1" applyBorder="1"/>
    <xf numFmtId="0" fontId="8" fillId="26" borderId="23" xfId="0" applyFont="1" applyFill="1" applyBorder="1"/>
    <xf numFmtId="0" fontId="10" fillId="26" borderId="38" xfId="0" applyFont="1" applyFill="1" applyBorder="1"/>
    <xf numFmtId="3" fontId="10" fillId="26" borderId="38" xfId="0" applyNumberFormat="1" applyFont="1" applyFill="1" applyBorder="1"/>
    <xf numFmtId="0" fontId="10" fillId="26" borderId="39" xfId="0" applyFont="1" applyFill="1" applyBorder="1"/>
    <xf numFmtId="0" fontId="9" fillId="24" borderId="24" xfId="0" applyFont="1" applyFill="1" applyBorder="1"/>
    <xf numFmtId="0" fontId="9" fillId="24" borderId="23" xfId="0" applyFont="1" applyFill="1" applyBorder="1"/>
    <xf numFmtId="0" fontId="11" fillId="0" borderId="23" xfId="0" applyFont="1" applyFill="1" applyBorder="1"/>
    <xf numFmtId="164" fontId="9" fillId="0" borderId="17" xfId="0" applyNumberFormat="1" applyFont="1" applyFill="1" applyBorder="1" applyAlignment="1">
      <alignment horizontal="center"/>
    </xf>
    <xf numFmtId="0" fontId="15" fillId="0" borderId="0" xfId="0" applyFont="1"/>
    <xf numFmtId="0" fontId="8" fillId="28" borderId="0" xfId="0" applyFont="1" applyFill="1" applyBorder="1"/>
    <xf numFmtId="0" fontId="8" fillId="27" borderId="0" xfId="0" applyFont="1" applyFill="1" applyBorder="1"/>
    <xf numFmtId="0" fontId="8" fillId="26" borderId="0" xfId="0" applyFont="1" applyFill="1" applyBorder="1"/>
    <xf numFmtId="0" fontId="11" fillId="22" borderId="42" xfId="0" applyFont="1" applyFill="1" applyBorder="1"/>
    <xf numFmtId="1" fontId="8" fillId="0" borderId="0" xfId="0" applyNumberFormat="1" applyFont="1" applyFill="1"/>
    <xf numFmtId="1" fontId="10" fillId="0" borderId="0" xfId="0" applyNumberFormat="1" applyFont="1"/>
    <xf numFmtId="0" fontId="11" fillId="0" borderId="25" xfId="0" applyFont="1" applyBorder="1"/>
    <xf numFmtId="0" fontId="9" fillId="25" borderId="30" xfId="0" applyFont="1" applyFill="1" applyBorder="1"/>
    <xf numFmtId="0" fontId="8" fillId="22" borderId="30" xfId="0" applyFont="1" applyFill="1" applyBorder="1"/>
    <xf numFmtId="0" fontId="11" fillId="22" borderId="30" xfId="0" applyFont="1" applyFill="1" applyBorder="1"/>
    <xf numFmtId="3" fontId="8" fillId="22" borderId="30" xfId="0" applyNumberFormat="1" applyFont="1" applyFill="1" applyBorder="1"/>
    <xf numFmtId="0" fontId="8" fillId="0" borderId="0" xfId="0" applyFont="1" applyFill="1" applyAlignment="1">
      <alignment textRotation="180" wrapText="1"/>
    </xf>
    <xf numFmtId="0" fontId="8" fillId="0" borderId="11" xfId="0" applyFont="1" applyFill="1" applyBorder="1" applyAlignment="1">
      <alignment horizontal="center" vertical="center"/>
    </xf>
    <xf numFmtId="0" fontId="10" fillId="26" borderId="23" xfId="0" applyNumberFormat="1" applyFont="1" applyFill="1" applyBorder="1" applyAlignment="1">
      <alignment horizontal="right"/>
    </xf>
    <xf numFmtId="0" fontId="8" fillId="23" borderId="34" xfId="0" applyFont="1" applyFill="1" applyBorder="1"/>
    <xf numFmtId="0" fontId="11" fillId="22" borderId="44" xfId="0" applyFont="1" applyFill="1" applyBorder="1"/>
    <xf numFmtId="0" fontId="39" fillId="0" borderId="11" xfId="0" applyFont="1" applyFill="1" applyBorder="1" applyAlignment="1">
      <alignment horizontal="center" vertical="center"/>
    </xf>
    <xf numFmtId="0" fontId="8" fillId="60" borderId="0" xfId="0" applyFont="1" applyFill="1" applyAlignment="1">
      <alignment vertical="top"/>
    </xf>
    <xf numFmtId="3" fontId="8" fillId="61" borderId="23" xfId="0" applyNumberFormat="1" applyFont="1" applyFill="1" applyBorder="1"/>
    <xf numFmtId="0" fontId="8" fillId="61" borderId="23" xfId="0" applyFont="1" applyFill="1" applyBorder="1"/>
    <xf numFmtId="0" fontId="7" fillId="61" borderId="23" xfId="0" applyFont="1" applyFill="1" applyBorder="1"/>
    <xf numFmtId="0" fontId="8" fillId="61" borderId="25" xfId="0" applyFont="1" applyFill="1" applyBorder="1"/>
    <xf numFmtId="0" fontId="8" fillId="61" borderId="24" xfId="0" applyFont="1" applyFill="1" applyBorder="1"/>
    <xf numFmtId="0" fontId="9" fillId="61" borderId="24" xfId="0" applyFont="1" applyFill="1" applyBorder="1"/>
    <xf numFmtId="0" fontId="9" fillId="22" borderId="31" xfId="0" applyFont="1" applyFill="1" applyBorder="1" applyAlignment="1">
      <alignment horizontal="center"/>
    </xf>
    <xf numFmtId="0" fontId="8" fillId="0" borderId="0" xfId="0" applyFont="1" applyBorder="1" applyAlignment="1">
      <alignment wrapText="1"/>
    </xf>
    <xf numFmtId="0" fontId="9" fillId="21" borderId="13" xfId="0" applyFont="1" applyFill="1" applyBorder="1" applyAlignment="1">
      <alignment wrapText="1"/>
    </xf>
    <xf numFmtId="0" fontId="9" fillId="21" borderId="11" xfId="0" applyFont="1" applyFill="1" applyBorder="1" applyAlignment="1">
      <alignment wrapText="1"/>
    </xf>
    <xf numFmtId="0" fontId="9" fillId="21" borderId="19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vertical="center" wrapText="1"/>
    </xf>
    <xf numFmtId="0" fontId="9" fillId="21" borderId="10" xfId="0" applyFont="1" applyFill="1" applyBorder="1" applyAlignment="1"/>
    <xf numFmtId="0" fontId="8" fillId="23" borderId="43" xfId="0" applyFont="1" applyFill="1" applyBorder="1"/>
    <xf numFmtId="0" fontId="8" fillId="23" borderId="43" xfId="0" applyFont="1" applyFill="1" applyBorder="1" applyAlignment="1">
      <alignment horizontal="right"/>
    </xf>
    <xf numFmtId="0" fontId="9" fillId="23" borderId="43" xfId="0" applyFont="1" applyFill="1" applyBorder="1"/>
    <xf numFmtId="0" fontId="8" fillId="23" borderId="34" xfId="0" applyFont="1" applyFill="1" applyBorder="1" applyAlignment="1">
      <alignment horizontal="right"/>
    </xf>
    <xf numFmtId="0" fontId="9" fillId="23" borderId="34" xfId="0" applyFont="1" applyFill="1" applyBorder="1"/>
    <xf numFmtId="1" fontId="8" fillId="23" borderId="11" xfId="0" applyNumberFormat="1" applyFont="1" applyFill="1" applyBorder="1" applyAlignment="1">
      <alignment horizontal="center"/>
    </xf>
    <xf numFmtId="0" fontId="9" fillId="23" borderId="11" xfId="0" applyFont="1" applyFill="1" applyBorder="1"/>
    <xf numFmtId="0" fontId="8" fillId="23" borderId="11" xfId="0" applyFont="1" applyFill="1" applyBorder="1" applyAlignment="1">
      <alignment horizontal="center"/>
    </xf>
    <xf numFmtId="0" fontId="9" fillId="23" borderId="11" xfId="0" applyFont="1" applyFill="1" applyBorder="1" applyAlignment="1">
      <alignment horizontal="center"/>
    </xf>
    <xf numFmtId="0" fontId="8" fillId="23" borderId="18" xfId="0" applyFont="1" applyFill="1" applyBorder="1" applyAlignment="1">
      <alignment horizontal="center"/>
    </xf>
    <xf numFmtId="1" fontId="8" fillId="23" borderId="18" xfId="0" applyNumberFormat="1" applyFont="1" applyFill="1" applyBorder="1" applyAlignment="1">
      <alignment horizontal="center"/>
    </xf>
    <xf numFmtId="0" fontId="9" fillId="23" borderId="18" xfId="0" applyFont="1" applyFill="1" applyBorder="1" applyAlignment="1">
      <alignment horizontal="center"/>
    </xf>
    <xf numFmtId="0" fontId="8" fillId="23" borderId="21" xfId="0" applyFont="1" applyFill="1" applyBorder="1" applyAlignment="1">
      <alignment wrapText="1"/>
    </xf>
    <xf numFmtId="0" fontId="8" fillId="23" borderId="18" xfId="0" applyFont="1" applyFill="1" applyBorder="1"/>
    <xf numFmtId="0" fontId="10" fillId="23" borderId="20" xfId="0" applyFont="1" applyFill="1" applyBorder="1"/>
    <xf numFmtId="0" fontId="8" fillId="23" borderId="43" xfId="0" applyFont="1" applyFill="1" applyBorder="1" applyAlignment="1">
      <alignment wrapText="1"/>
    </xf>
    <xf numFmtId="164" fontId="8" fillId="23" borderId="43" xfId="0" applyNumberFormat="1" applyFont="1" applyFill="1" applyBorder="1" applyAlignment="1">
      <alignment horizontal="center"/>
    </xf>
    <xf numFmtId="1" fontId="8" fillId="23" borderId="43" xfId="0" applyNumberFormat="1" applyFont="1" applyFill="1" applyBorder="1" applyAlignment="1">
      <alignment horizontal="center"/>
    </xf>
    <xf numFmtId="0" fontId="8" fillId="23" borderId="41" xfId="0" applyFont="1" applyFill="1" applyBorder="1"/>
    <xf numFmtId="0" fontId="10" fillId="23" borderId="21" xfId="0" applyFont="1" applyFill="1" applyBorder="1"/>
    <xf numFmtId="0" fontId="10" fillId="23" borderId="18" xfId="0" applyFont="1" applyFill="1" applyBorder="1"/>
    <xf numFmtId="0" fontId="10" fillId="23" borderId="54" xfId="0" applyFont="1" applyFill="1" applyBorder="1"/>
    <xf numFmtId="0" fontId="8" fillId="23" borderId="34" xfId="0" applyFont="1" applyFill="1" applyBorder="1" applyAlignment="1">
      <alignment wrapText="1"/>
    </xf>
    <xf numFmtId="0" fontId="8" fillId="23" borderId="40" xfId="0" applyFont="1" applyFill="1" applyBorder="1"/>
    <xf numFmtId="0" fontId="9" fillId="0" borderId="0" xfId="0" applyFont="1" applyFill="1"/>
    <xf numFmtId="0" fontId="9" fillId="22" borderId="32" xfId="0" applyFont="1" applyFill="1" applyBorder="1" applyAlignment="1">
      <alignment horizontal="center"/>
    </xf>
    <xf numFmtId="0" fontId="9" fillId="22" borderId="33" xfId="0" applyFont="1" applyFill="1" applyBorder="1" applyAlignment="1">
      <alignment horizontal="center"/>
    </xf>
    <xf numFmtId="0" fontId="9" fillId="22" borderId="55" xfId="0" applyFont="1" applyFill="1" applyBorder="1" applyAlignment="1">
      <alignment horizontal="center"/>
    </xf>
    <xf numFmtId="0" fontId="8" fillId="25" borderId="18" xfId="0" applyFont="1" applyFill="1" applyBorder="1" applyAlignment="1">
      <alignment horizontal="center" vertical="center"/>
    </xf>
    <xf numFmtId="0" fontId="10" fillId="21" borderId="15" xfId="0" applyFont="1" applyFill="1" applyBorder="1" applyAlignment="1">
      <alignment horizontal="center"/>
    </xf>
    <xf numFmtId="0" fontId="9" fillId="21" borderId="16" xfId="0" applyFont="1" applyFill="1" applyBorder="1" applyAlignment="1">
      <alignment horizontal="center" wrapText="1"/>
    </xf>
    <xf numFmtId="0" fontId="10" fillId="21" borderId="18" xfId="0" applyFont="1" applyFill="1" applyBorder="1" applyAlignment="1">
      <alignment horizontal="center" wrapText="1"/>
    </xf>
    <xf numFmtId="0" fontId="10" fillId="21" borderId="11" xfId="0" applyFont="1" applyFill="1" applyBorder="1" applyAlignment="1">
      <alignment horizontal="center" wrapText="1"/>
    </xf>
    <xf numFmtId="0" fontId="10" fillId="21" borderId="15" xfId="0" applyFont="1" applyFill="1" applyBorder="1" applyAlignment="1">
      <alignment horizontal="center" wrapText="1"/>
    </xf>
    <xf numFmtId="0" fontId="10" fillId="21" borderId="17" xfId="0" applyFont="1" applyFill="1" applyBorder="1" applyAlignment="1">
      <alignment horizontal="center" wrapText="1"/>
    </xf>
    <xf numFmtId="0" fontId="10" fillId="23" borderId="43" xfId="0" applyFont="1" applyFill="1" applyBorder="1"/>
    <xf numFmtId="0" fontId="10" fillId="23" borderId="41" xfId="0" applyFont="1" applyFill="1" applyBorder="1"/>
    <xf numFmtId="0" fontId="9" fillId="23" borderId="20" xfId="0" applyFont="1" applyFill="1" applyBorder="1"/>
    <xf numFmtId="0" fontId="9" fillId="23" borderId="15" xfId="0" applyFont="1" applyFill="1" applyBorder="1"/>
    <xf numFmtId="0" fontId="53" fillId="0" borderId="11" xfId="387" applyFill="1" applyBorder="1" applyAlignment="1">
      <alignment horizontal="center" vertical="center"/>
    </xf>
    <xf numFmtId="0" fontId="8" fillId="0" borderId="56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1" fontId="8" fillId="0" borderId="11" xfId="0" applyNumberFormat="1" applyFont="1" applyFill="1" applyBorder="1" applyAlignment="1">
      <alignment horizontal="center" vertical="center"/>
    </xf>
    <xf numFmtId="0" fontId="75" fillId="0" borderId="0" xfId="0" applyFont="1" applyFill="1" applyBorder="1" applyAlignment="1">
      <alignment horizontal="left" vertical="center"/>
    </xf>
    <xf numFmtId="1" fontId="9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12" fillId="0" borderId="0" xfId="336" applyFont="1" applyFill="1" applyBorder="1"/>
    <xf numFmtId="1" fontId="11" fillId="0" borderId="0" xfId="0" applyNumberFormat="1" applyFont="1" applyFill="1" applyBorder="1" applyAlignment="1">
      <alignment horizontal="center"/>
    </xf>
    <xf numFmtId="164" fontId="11" fillId="0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 vertical="center"/>
    </xf>
    <xf numFmtId="0" fontId="9" fillId="21" borderId="29" xfId="0" applyFont="1" applyFill="1" applyBorder="1" applyAlignment="1"/>
    <xf numFmtId="0" fontId="9" fillId="21" borderId="21" xfId="0" applyFont="1" applyFill="1" applyBorder="1" applyAlignment="1">
      <alignment horizontal="center"/>
    </xf>
    <xf numFmtId="1" fontId="8" fillId="25" borderId="18" xfId="0" applyNumberFormat="1" applyFont="1" applyFill="1" applyBorder="1" applyAlignment="1">
      <alignment horizontal="center" vertical="center"/>
    </xf>
    <xf numFmtId="0" fontId="9" fillId="21" borderId="14" xfId="0" applyFont="1" applyFill="1" applyBorder="1" applyAlignment="1">
      <alignment horizontal="center"/>
    </xf>
    <xf numFmtId="0" fontId="9" fillId="21" borderId="57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 vertical="center"/>
    </xf>
    <xf numFmtId="0" fontId="8" fillId="0" borderId="58" xfId="0" applyFont="1" applyFill="1" applyBorder="1" applyAlignment="1">
      <alignment horizontal="center" vertical="center"/>
    </xf>
    <xf numFmtId="0" fontId="8" fillId="0" borderId="59" xfId="0" applyFont="1" applyFill="1" applyBorder="1" applyAlignment="1">
      <alignment horizontal="center" vertical="center"/>
    </xf>
    <xf numFmtId="0" fontId="9" fillId="62" borderId="11" xfId="0" applyFont="1" applyFill="1" applyBorder="1" applyAlignment="1">
      <alignment horizontal="center"/>
    </xf>
    <xf numFmtId="0" fontId="9" fillId="62" borderId="10" xfId="0" applyFont="1" applyFill="1" applyBorder="1" applyAlignment="1"/>
    <xf numFmtId="0" fontId="9" fillId="0" borderId="33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60" borderId="0" xfId="0" applyFont="1" applyFill="1" applyAlignment="1">
      <alignment horizontal="center"/>
    </xf>
    <xf numFmtId="0" fontId="9" fillId="22" borderId="60" xfId="0" applyFont="1" applyFill="1" applyBorder="1" applyAlignment="1">
      <alignment horizontal="center"/>
    </xf>
    <xf numFmtId="0" fontId="9" fillId="60" borderId="11" xfId="0" applyFont="1" applyFill="1" applyBorder="1" applyAlignment="1">
      <alignment horizontal="center"/>
    </xf>
    <xf numFmtId="0" fontId="9" fillId="63" borderId="33" xfId="0" applyFont="1" applyFill="1" applyBorder="1" applyAlignment="1">
      <alignment horizontal="center"/>
    </xf>
    <xf numFmtId="0" fontId="9" fillId="63" borderId="32" xfId="0" applyFont="1" applyFill="1" applyBorder="1" applyAlignment="1">
      <alignment horizontal="center"/>
    </xf>
    <xf numFmtId="0" fontId="75" fillId="0" borderId="0" xfId="0" applyFont="1" applyFill="1" applyBorder="1"/>
    <xf numFmtId="0" fontId="75" fillId="0" borderId="0" xfId="0" applyFont="1" applyFill="1" applyBorder="1" applyAlignment="1"/>
    <xf numFmtId="0" fontId="76" fillId="0" borderId="11" xfId="0" applyFont="1" applyFill="1" applyBorder="1" applyAlignment="1">
      <alignment vertical="center"/>
    </xf>
    <xf numFmtId="0" fontId="80" fillId="0" borderId="11" xfId="0" applyFont="1" applyFill="1" applyBorder="1"/>
    <xf numFmtId="0" fontId="77" fillId="0" borderId="11" xfId="0" applyFont="1" applyFill="1" applyBorder="1" applyAlignment="1">
      <alignment vertical="center"/>
    </xf>
    <xf numFmtId="0" fontId="80" fillId="0" borderId="11" xfId="0" applyFont="1" applyFill="1" applyBorder="1" applyAlignment="1">
      <alignment vertical="center"/>
    </xf>
    <xf numFmtId="0" fontId="77" fillId="0" borderId="11" xfId="0" applyFont="1" applyFill="1" applyBorder="1"/>
    <xf numFmtId="0" fontId="12" fillId="0" borderId="11" xfId="336" applyFont="1" applyFill="1" applyBorder="1"/>
    <xf numFmtId="0" fontId="78" fillId="0" borderId="0" xfId="387" applyFont="1" applyFill="1"/>
    <xf numFmtId="0" fontId="9" fillId="60" borderId="31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/>
    </xf>
    <xf numFmtId="0" fontId="9" fillId="63" borderId="55" xfId="0" applyFont="1" applyFill="1" applyBorder="1" applyAlignment="1">
      <alignment horizontal="center"/>
    </xf>
    <xf numFmtId="1" fontId="8" fillId="23" borderId="19" xfId="0" applyNumberFormat="1" applyFont="1" applyFill="1" applyBorder="1" applyAlignment="1">
      <alignment horizontal="center"/>
    </xf>
    <xf numFmtId="0" fontId="53" fillId="0" borderId="0" xfId="387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9" fillId="0" borderId="11" xfId="0" applyFont="1" applyFill="1" applyBorder="1"/>
    <xf numFmtId="0" fontId="8" fillId="0" borderId="0" xfId="0" applyFont="1" applyFill="1" applyBorder="1" applyAlignment="1">
      <alignment horizontal="left"/>
    </xf>
    <xf numFmtId="0" fontId="9" fillId="63" borderId="11" xfId="0" applyFont="1" applyFill="1" applyBorder="1" applyAlignment="1">
      <alignment horizontal="center"/>
    </xf>
    <xf numFmtId="0" fontId="9" fillId="62" borderId="10" xfId="0" applyFont="1" applyFill="1" applyBorder="1" applyAlignment="1">
      <alignment horizontal="center"/>
    </xf>
    <xf numFmtId="0" fontId="82" fillId="0" borderId="11" xfId="0" applyFont="1" applyFill="1" applyBorder="1" applyAlignment="1">
      <alignment horizontal="center" vertical="center"/>
    </xf>
    <xf numFmtId="0" fontId="9" fillId="62" borderId="15" xfId="0" applyFont="1" applyFill="1" applyBorder="1" applyAlignment="1">
      <alignment horizontal="center"/>
    </xf>
    <xf numFmtId="164" fontId="9" fillId="0" borderId="11" xfId="0" applyNumberFormat="1" applyFont="1" applyFill="1" applyBorder="1" applyAlignment="1">
      <alignment horizontal="center"/>
    </xf>
    <xf numFmtId="0" fontId="8" fillId="25" borderId="11" xfId="0" applyFont="1" applyFill="1" applyBorder="1" applyAlignment="1">
      <alignment horizontal="center" vertical="center"/>
    </xf>
    <xf numFmtId="1" fontId="8" fillId="25" borderId="11" xfId="0" applyNumberFormat="1" applyFont="1" applyFill="1" applyBorder="1" applyAlignment="1">
      <alignment horizontal="center" vertical="center"/>
    </xf>
    <xf numFmtId="0" fontId="9" fillId="60" borderId="11" xfId="0" applyFont="1" applyFill="1" applyBorder="1" applyAlignment="1">
      <alignment horizontal="center"/>
    </xf>
    <xf numFmtId="1" fontId="11" fillId="0" borderId="16" xfId="0" applyNumberFormat="1" applyFont="1" applyFill="1" applyBorder="1" applyAlignment="1">
      <alignment horizontal="center"/>
    </xf>
    <xf numFmtId="1" fontId="11" fillId="0" borderId="18" xfId="0" applyNumberFormat="1" applyFont="1" applyFill="1" applyBorder="1" applyAlignment="1">
      <alignment horizontal="center"/>
    </xf>
    <xf numFmtId="1" fontId="11" fillId="0" borderId="11" xfId="0" applyNumberFormat="1" applyFont="1" applyFill="1" applyBorder="1" applyAlignment="1">
      <alignment horizontal="center"/>
    </xf>
    <xf numFmtId="0" fontId="83" fillId="62" borderId="10" xfId="0" applyFont="1" applyFill="1" applyBorder="1" applyAlignment="1"/>
    <xf numFmtId="0" fontId="9" fillId="62" borderId="12" xfId="0" applyFont="1" applyFill="1" applyBorder="1" applyAlignment="1">
      <alignment horizontal="center"/>
    </xf>
    <xf numFmtId="0" fontId="9" fillId="0" borderId="11" xfId="0" applyNumberFormat="1" applyFont="1" applyFill="1" applyBorder="1" applyAlignment="1">
      <alignment horizontal="center" vertical="top"/>
    </xf>
    <xf numFmtId="0" fontId="53" fillId="0" borderId="0" xfId="387" applyFill="1"/>
    <xf numFmtId="0" fontId="9" fillId="60" borderId="11" xfId="0" applyFont="1" applyFill="1" applyBorder="1" applyAlignment="1">
      <alignment horizontal="center"/>
    </xf>
    <xf numFmtId="0" fontId="8" fillId="0" borderId="43" xfId="0" applyFont="1" applyFill="1" applyBorder="1"/>
    <xf numFmtId="0" fontId="9" fillId="0" borderId="43" xfId="0" applyFont="1" applyFill="1" applyBorder="1"/>
    <xf numFmtId="0" fontId="8" fillId="0" borderId="41" xfId="0" applyFont="1" applyFill="1" applyBorder="1"/>
    <xf numFmtId="0" fontId="8" fillId="0" borderId="21" xfId="0" applyFont="1" applyFill="1" applyBorder="1"/>
    <xf numFmtId="0" fontId="9" fillId="0" borderId="21" xfId="0" applyFont="1" applyFill="1" applyBorder="1"/>
    <xf numFmtId="0" fontId="8" fillId="0" borderId="18" xfId="0" applyFont="1" applyFill="1" applyBorder="1"/>
    <xf numFmtId="0" fontId="10" fillId="0" borderId="21" xfId="0" applyFont="1" applyFill="1" applyBorder="1"/>
    <xf numFmtId="0" fontId="10" fillId="0" borderId="18" xfId="0" applyFont="1" applyFill="1" applyBorder="1"/>
    <xf numFmtId="0" fontId="10" fillId="0" borderId="43" xfId="0" applyFont="1" applyFill="1" applyBorder="1"/>
    <xf numFmtId="0" fontId="10" fillId="0" borderId="41" xfId="0" applyFont="1" applyFill="1" applyBorder="1"/>
    <xf numFmtId="0" fontId="8" fillId="0" borderId="34" xfId="0" applyFont="1" applyFill="1" applyBorder="1"/>
    <xf numFmtId="0" fontId="9" fillId="0" borderId="34" xfId="0" applyFont="1" applyFill="1" applyBorder="1"/>
    <xf numFmtId="0" fontId="8" fillId="0" borderId="40" xfId="0" applyFont="1" applyFill="1" applyBorder="1"/>
    <xf numFmtId="0" fontId="15" fillId="0" borderId="0" xfId="0" applyFont="1" applyFill="1"/>
    <xf numFmtId="0" fontId="9" fillId="0" borderId="0" xfId="0" applyFont="1" applyFill="1" applyBorder="1"/>
    <xf numFmtId="1" fontId="9" fillId="60" borderId="17" xfId="0" applyNumberFormat="1" applyFont="1" applyFill="1" applyBorder="1" applyAlignment="1">
      <alignment horizontal="center"/>
    </xf>
    <xf numFmtId="164" fontId="11" fillId="0" borderId="15" xfId="0" applyNumberFormat="1" applyFont="1" applyFill="1" applyBorder="1" applyAlignment="1">
      <alignment horizontal="center"/>
    </xf>
    <xf numFmtId="164" fontId="11" fillId="22" borderId="15" xfId="0" applyNumberFormat="1" applyFont="1" applyFill="1" applyBorder="1" applyAlignment="1">
      <alignment horizontal="center"/>
    </xf>
    <xf numFmtId="0" fontId="13" fillId="0" borderId="11" xfId="0" applyFont="1" applyFill="1" applyBorder="1" applyAlignment="1">
      <alignment horizontal="center" vertical="center"/>
    </xf>
    <xf numFmtId="0" fontId="80" fillId="0" borderId="11" xfId="0" applyFont="1" applyBorder="1"/>
    <xf numFmtId="1" fontId="8" fillId="0" borderId="43" xfId="0" applyNumberFormat="1" applyFont="1" applyFill="1" applyBorder="1" applyAlignment="1">
      <alignment horizontal="center"/>
    </xf>
    <xf numFmtId="0" fontId="53" fillId="62" borderId="10" xfId="387" applyFill="1" applyBorder="1" applyAlignment="1"/>
    <xf numFmtId="0" fontId="9" fillId="22" borderId="11" xfId="0" applyFont="1" applyFill="1" applyBorder="1" applyAlignment="1">
      <alignment horizontal="center"/>
    </xf>
    <xf numFmtId="0" fontId="9" fillId="60" borderId="0" xfId="0" applyFont="1" applyFill="1" applyBorder="1" applyAlignment="1">
      <alignment horizontal="center"/>
    </xf>
    <xf numFmtId="0" fontId="9" fillId="21" borderId="61" xfId="0" applyFont="1" applyFill="1" applyBorder="1" applyAlignment="1">
      <alignment horizontal="center"/>
    </xf>
    <xf numFmtId="0" fontId="9" fillId="0" borderId="11" xfId="0" applyFont="1" applyFill="1" applyBorder="1" applyAlignment="1"/>
    <xf numFmtId="0" fontId="0" fillId="0" borderId="11" xfId="0" applyFill="1" applyBorder="1"/>
    <xf numFmtId="0" fontId="9" fillId="0" borderId="0" xfId="0" applyFont="1" applyFill="1" applyBorder="1" applyAlignment="1"/>
    <xf numFmtId="0" fontId="9" fillId="0" borderId="29" xfId="0" applyFont="1" applyFill="1" applyBorder="1" applyAlignment="1"/>
    <xf numFmtId="0" fontId="9" fillId="22" borderId="40" xfId="0" applyFont="1" applyFill="1" applyBorder="1" applyAlignment="1">
      <alignment horizontal="center"/>
    </xf>
    <xf numFmtId="0" fontId="53" fillId="62" borderId="10" xfId="387" applyFill="1" applyBorder="1" applyAlignment="1">
      <alignment horizontal="center"/>
    </xf>
    <xf numFmtId="0" fontId="9" fillId="60" borderId="11" xfId="0" applyFont="1" applyFill="1" applyBorder="1" applyAlignment="1">
      <alignment horizontal="center"/>
    </xf>
    <xf numFmtId="0" fontId="39" fillId="64" borderId="11" xfId="0" applyFont="1" applyFill="1" applyBorder="1" applyAlignment="1">
      <alignment horizontal="center" vertical="center"/>
    </xf>
    <xf numFmtId="0" fontId="39" fillId="65" borderId="11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right"/>
    </xf>
    <xf numFmtId="0" fontId="8" fillId="0" borderId="15" xfId="0" applyFont="1" applyFill="1" applyBorder="1" applyAlignment="1">
      <alignment horizontal="center"/>
    </xf>
    <xf numFmtId="0" fontId="8" fillId="0" borderId="17" xfId="0" applyFont="1" applyFill="1" applyBorder="1" applyAlignment="1">
      <alignment horizontal="center"/>
    </xf>
    <xf numFmtId="0" fontId="8" fillId="0" borderId="36" xfId="0" applyFont="1" applyFill="1" applyBorder="1" applyAlignment="1">
      <alignment horizontal="center"/>
    </xf>
    <xf numFmtId="0" fontId="8" fillId="0" borderId="16" xfId="0" applyFont="1" applyFill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/>
    </xf>
    <xf numFmtId="0" fontId="8" fillId="0" borderId="18" xfId="0" applyFont="1" applyFill="1" applyBorder="1" applyAlignment="1">
      <alignment horizontal="center"/>
    </xf>
    <xf numFmtId="0" fontId="8" fillId="0" borderId="21" xfId="0" applyFont="1" applyFill="1" applyBorder="1" applyAlignment="1">
      <alignment horizontal="center"/>
    </xf>
    <xf numFmtId="0" fontId="8" fillId="65" borderId="1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8" fillId="64" borderId="18" xfId="0" applyFont="1" applyFill="1" applyBorder="1" applyAlignment="1">
      <alignment horizontal="center"/>
    </xf>
    <xf numFmtId="0" fontId="8" fillId="65" borderId="11" xfId="0" applyFont="1" applyFill="1" applyBorder="1" applyAlignment="1">
      <alignment horizontal="center"/>
    </xf>
    <xf numFmtId="0" fontId="8" fillId="66" borderId="11" xfId="0" applyFont="1" applyFill="1" applyBorder="1" applyAlignment="1">
      <alignment horizontal="center"/>
    </xf>
    <xf numFmtId="0" fontId="8" fillId="66" borderId="11" xfId="0" applyFont="1" applyFill="1" applyBorder="1" applyAlignment="1">
      <alignment horizontal="center" vertical="center"/>
    </xf>
    <xf numFmtId="0" fontId="8" fillId="64" borderId="11" xfId="0" applyFont="1" applyFill="1" applyBorder="1" applyAlignment="1">
      <alignment horizontal="center"/>
    </xf>
    <xf numFmtId="0" fontId="8" fillId="64" borderId="11" xfId="0" applyFont="1" applyFill="1" applyBorder="1" applyAlignment="1">
      <alignment horizontal="center" vertical="center"/>
    </xf>
    <xf numFmtId="0" fontId="53" fillId="64" borderId="11" xfId="387" applyFill="1" applyBorder="1" applyAlignment="1">
      <alignment horizontal="center" vertical="center"/>
    </xf>
    <xf numFmtId="0" fontId="8" fillId="65" borderId="11" xfId="0" applyFont="1" applyFill="1" applyBorder="1" applyAlignment="1">
      <alignment horizontal="center" vertical="center"/>
    </xf>
    <xf numFmtId="0" fontId="1" fillId="64" borderId="11" xfId="387" applyFont="1" applyFill="1" applyBorder="1" applyAlignment="1">
      <alignment horizontal="center" vertical="center"/>
    </xf>
    <xf numFmtId="0" fontId="53" fillId="65" borderId="11" xfId="387" applyFill="1" applyBorder="1" applyAlignment="1">
      <alignment horizontal="center" vertical="center"/>
    </xf>
    <xf numFmtId="0" fontId="8" fillId="67" borderId="11" xfId="0" applyFont="1" applyFill="1" applyBorder="1" applyAlignment="1">
      <alignment horizontal="center"/>
    </xf>
    <xf numFmtId="0" fontId="9" fillId="63" borderId="15" xfId="0" applyFont="1" applyFill="1" applyBorder="1" applyAlignment="1">
      <alignment horizontal="center"/>
    </xf>
    <xf numFmtId="0" fontId="82" fillId="65" borderId="11" xfId="0" applyFont="1" applyFill="1" applyBorder="1" applyAlignment="1">
      <alignment horizontal="center" vertical="center"/>
    </xf>
    <xf numFmtId="0" fontId="76" fillId="63" borderId="11" xfId="0" applyFont="1" applyFill="1" applyBorder="1" applyAlignment="1">
      <alignment vertical="center"/>
    </xf>
    <xf numFmtId="0" fontId="80" fillId="63" borderId="11" xfId="0" applyFont="1" applyFill="1" applyBorder="1" applyAlignment="1">
      <alignment vertical="center"/>
    </xf>
    <xf numFmtId="0" fontId="8" fillId="63" borderId="19" xfId="0" applyFont="1" applyFill="1" applyBorder="1"/>
    <xf numFmtId="0" fontId="8" fillId="63" borderId="19" xfId="0" applyFont="1" applyFill="1" applyBorder="1" applyAlignment="1">
      <alignment wrapText="1"/>
    </xf>
    <xf numFmtId="0" fontId="8" fillId="63" borderId="20" xfId="0" applyFont="1" applyFill="1" applyBorder="1"/>
    <xf numFmtId="0" fontId="77" fillId="63" borderId="11" xfId="0" applyFont="1" applyFill="1" applyBorder="1" applyAlignment="1">
      <alignment vertical="center"/>
    </xf>
    <xf numFmtId="0" fontId="53" fillId="66" borderId="11" xfId="387" applyFill="1" applyBorder="1" applyAlignment="1">
      <alignment horizontal="center" vertical="center"/>
    </xf>
    <xf numFmtId="0" fontId="80" fillId="63" borderId="11" xfId="0" applyFont="1" applyFill="1" applyBorder="1"/>
    <xf numFmtId="0" fontId="76" fillId="63" borderId="0" xfId="0" applyFont="1" applyFill="1" applyBorder="1" applyAlignment="1">
      <alignment vertical="center"/>
    </xf>
    <xf numFmtId="0" fontId="13" fillId="64" borderId="11" xfId="0" applyFont="1" applyFill="1" applyBorder="1" applyAlignment="1">
      <alignment horizontal="center" vertical="center"/>
    </xf>
    <xf numFmtId="1" fontId="8" fillId="64" borderId="11" xfId="0" applyNumberFormat="1" applyFont="1" applyFill="1" applyBorder="1" applyAlignment="1">
      <alignment horizontal="center" vertical="center"/>
    </xf>
    <xf numFmtId="0" fontId="8" fillId="66" borderId="18" xfId="0" applyFont="1" applyFill="1" applyBorder="1" applyAlignment="1">
      <alignment horizontal="center"/>
    </xf>
    <xf numFmtId="0" fontId="8" fillId="67" borderId="11" xfId="0" applyFont="1" applyFill="1" applyBorder="1" applyAlignment="1">
      <alignment horizontal="center" vertical="center"/>
    </xf>
    <xf numFmtId="0" fontId="8" fillId="64" borderId="40" xfId="0" applyFont="1" applyFill="1" applyBorder="1" applyAlignment="1">
      <alignment horizontal="center"/>
    </xf>
    <xf numFmtId="0" fontId="82" fillId="64" borderId="11" xfId="0" applyFont="1" applyFill="1" applyBorder="1" applyAlignment="1">
      <alignment horizontal="center" vertical="center"/>
    </xf>
    <xf numFmtId="0" fontId="9" fillId="64" borderId="11" xfId="0" applyFont="1" applyFill="1" applyBorder="1"/>
    <xf numFmtId="0" fontId="76" fillId="60" borderId="11" xfId="0" applyFont="1" applyFill="1" applyBorder="1" applyAlignment="1">
      <alignment vertical="center"/>
    </xf>
    <xf numFmtId="0" fontId="84" fillId="0" borderId="0" xfId="0" applyFont="1" applyFill="1"/>
    <xf numFmtId="0" fontId="9" fillId="64" borderId="11" xfId="0" applyFont="1" applyFill="1" applyBorder="1" applyAlignment="1">
      <alignment horizontal="center"/>
    </xf>
    <xf numFmtId="0" fontId="39" fillId="66" borderId="11" xfId="0" applyFont="1" applyFill="1" applyBorder="1" applyAlignment="1">
      <alignment horizontal="center" vertical="center"/>
    </xf>
    <xf numFmtId="1" fontId="83" fillId="60" borderId="17" xfId="0" applyNumberFormat="1" applyFont="1" applyFill="1" applyBorder="1" applyAlignment="1">
      <alignment horizontal="center"/>
    </xf>
    <xf numFmtId="0" fontId="9" fillId="63" borderId="31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85" fillId="0" borderId="11" xfId="0" applyFont="1" applyBorder="1" applyAlignment="1">
      <alignment horizontal="center" vertical="top"/>
    </xf>
    <xf numFmtId="0" fontId="8" fillId="63" borderId="11" xfId="0" applyFont="1" applyFill="1" applyBorder="1" applyAlignment="1">
      <alignment horizontal="center" vertical="center"/>
    </xf>
    <xf numFmtId="0" fontId="78" fillId="65" borderId="0" xfId="387" applyFont="1" applyFill="1"/>
    <xf numFmtId="0" fontId="9" fillId="65" borderId="31" xfId="0" applyFont="1" applyFill="1" applyBorder="1" applyAlignment="1">
      <alignment horizontal="center"/>
    </xf>
    <xf numFmtId="0" fontId="9" fillId="65" borderId="11" xfId="0" applyFont="1" applyFill="1" applyBorder="1" applyAlignment="1">
      <alignment horizontal="center"/>
    </xf>
    <xf numFmtId="0" fontId="9" fillId="65" borderId="15" xfId="0" applyFont="1" applyFill="1" applyBorder="1" applyAlignment="1">
      <alignment horizontal="center"/>
    </xf>
    <xf numFmtId="0" fontId="53" fillId="65" borderId="0" xfId="387" applyFill="1"/>
    <xf numFmtId="0" fontId="8" fillId="65" borderId="0" xfId="0" applyFont="1" applyFill="1"/>
    <xf numFmtId="0" fontId="53" fillId="65" borderId="0" xfId="387" applyFill="1" applyBorder="1" applyAlignment="1">
      <alignment horizontal="center"/>
    </xf>
    <xf numFmtId="0" fontId="9" fillId="64" borderId="15" xfId="0" applyFont="1" applyFill="1" applyBorder="1" applyAlignment="1">
      <alignment horizontal="center"/>
    </xf>
    <xf numFmtId="0" fontId="9" fillId="65" borderId="55" xfId="0" applyFont="1" applyFill="1" applyBorder="1" applyAlignment="1">
      <alignment horizontal="center"/>
    </xf>
    <xf numFmtId="0" fontId="9" fillId="64" borderId="55" xfId="0" applyFont="1" applyFill="1" applyBorder="1" applyAlignment="1">
      <alignment horizontal="center"/>
    </xf>
    <xf numFmtId="0" fontId="9" fillId="60" borderId="15" xfId="0" applyFont="1" applyFill="1" applyBorder="1" applyAlignment="1">
      <alignment horizontal="center"/>
    </xf>
    <xf numFmtId="0" fontId="9" fillId="60" borderId="21" xfId="0" applyFont="1" applyFill="1" applyBorder="1" applyAlignment="1">
      <alignment horizontal="center"/>
    </xf>
    <xf numFmtId="0" fontId="9" fillId="60" borderId="18" xfId="0" applyFont="1" applyFill="1" applyBorder="1" applyAlignment="1">
      <alignment horizontal="center"/>
    </xf>
    <xf numFmtId="0" fontId="9" fillId="60" borderId="62" xfId="0" applyFont="1" applyFill="1" applyBorder="1" applyAlignment="1">
      <alignment horizontal="center"/>
    </xf>
    <xf numFmtId="0" fontId="9" fillId="60" borderId="0" xfId="0" applyFont="1" applyFill="1" applyBorder="1" applyAlignment="1">
      <alignment horizontal="center"/>
    </xf>
    <xf numFmtId="0" fontId="9" fillId="60" borderId="11" xfId="0" applyFont="1" applyFill="1" applyBorder="1" applyAlignment="1">
      <alignment horizontal="center"/>
    </xf>
  </cellXfs>
  <cellStyles count="425">
    <cellStyle name="20% - Accent1" xfId="399" builtinId="30" customBuiltin="1"/>
    <cellStyle name="20% - Accent1 2" xfId="1"/>
    <cellStyle name="20% - Accent1 3" xfId="2"/>
    <cellStyle name="20% - Accent2" xfId="403" builtinId="34" customBuiltin="1"/>
    <cellStyle name="20% - Accent2 2" xfId="3"/>
    <cellStyle name="20% - Accent2 3" xfId="4"/>
    <cellStyle name="20% - Accent3" xfId="407" builtinId="38" customBuiltin="1"/>
    <cellStyle name="20% - Accent3 2" xfId="5"/>
    <cellStyle name="20% - Accent3 3" xfId="6"/>
    <cellStyle name="20% - Accent4" xfId="411" builtinId="42" customBuiltin="1"/>
    <cellStyle name="20% - Accent4 2" xfId="7"/>
    <cellStyle name="20% - Accent4 3" xfId="8"/>
    <cellStyle name="20% - Accent5" xfId="415" builtinId="46" customBuiltin="1"/>
    <cellStyle name="20% - Accent5 2" xfId="9"/>
    <cellStyle name="20% - Accent5 3" xfId="10"/>
    <cellStyle name="20% - Accent6" xfId="419" builtinId="50" customBuiltin="1"/>
    <cellStyle name="20% - Accent6 2" xfId="11"/>
    <cellStyle name="20% - Accent6 3" xfId="12"/>
    <cellStyle name="40% - Accent1" xfId="400" builtinId="31" customBuiltin="1"/>
    <cellStyle name="40% - Accent1 2" xfId="13"/>
    <cellStyle name="40% - Accent1 3" xfId="14"/>
    <cellStyle name="40% - Accent2" xfId="404" builtinId="35" customBuiltin="1"/>
    <cellStyle name="40% - Accent2 2" xfId="15"/>
    <cellStyle name="40% - Accent2 3" xfId="16"/>
    <cellStyle name="40% - Accent3" xfId="408" builtinId="39" customBuiltin="1"/>
    <cellStyle name="40% - Accent3 2" xfId="17"/>
    <cellStyle name="40% - Accent3 3" xfId="18"/>
    <cellStyle name="40% - Accent4" xfId="412" builtinId="43" customBuiltin="1"/>
    <cellStyle name="40% - Accent4 2" xfId="19"/>
    <cellStyle name="40% - Accent4 3" xfId="20"/>
    <cellStyle name="40% - Accent5" xfId="416" builtinId="47" customBuiltin="1"/>
    <cellStyle name="40% - Accent5 2" xfId="21"/>
    <cellStyle name="40% - Accent5 3" xfId="22"/>
    <cellStyle name="40% - Accent6" xfId="420" builtinId="51" customBuiltin="1"/>
    <cellStyle name="40% - Accent6 2" xfId="23"/>
    <cellStyle name="40% - Accent6 3" xfId="24"/>
    <cellStyle name="60% - Accent1" xfId="401" builtinId="32" customBuiltin="1"/>
    <cellStyle name="60% - Accent1 2" xfId="25"/>
    <cellStyle name="60% - Accent1 3" xfId="26"/>
    <cellStyle name="60% - Accent2" xfId="405" builtinId="36" customBuiltin="1"/>
    <cellStyle name="60% - Accent2 2" xfId="27"/>
    <cellStyle name="60% - Accent2 3" xfId="28"/>
    <cellStyle name="60% - Accent3" xfId="409" builtinId="40" customBuiltin="1"/>
    <cellStyle name="60% - Accent3 2" xfId="29"/>
    <cellStyle name="60% - Accent3 3" xfId="30"/>
    <cellStyle name="60% - Accent4" xfId="413" builtinId="44" customBuiltin="1"/>
    <cellStyle name="60% - Accent4 2" xfId="31"/>
    <cellStyle name="60% - Accent4 3" xfId="32"/>
    <cellStyle name="60% - Accent5" xfId="417" builtinId="48" customBuiltin="1"/>
    <cellStyle name="60% - Accent5 2" xfId="33"/>
    <cellStyle name="60% - Accent5 3" xfId="34"/>
    <cellStyle name="60% - Accent6" xfId="421" builtinId="52" customBuiltin="1"/>
    <cellStyle name="60% - Accent6 2" xfId="35"/>
    <cellStyle name="60% - Accent6 3" xfId="36"/>
    <cellStyle name="Accent1" xfId="398" builtinId="29" customBuiltin="1"/>
    <cellStyle name="Accent1 - 20%" xfId="37"/>
    <cellStyle name="Accent1 - 40%" xfId="38"/>
    <cellStyle name="Accent1 - 60%" xfId="39"/>
    <cellStyle name="Accent1 10" xfId="40"/>
    <cellStyle name="Accent1 11" xfId="41"/>
    <cellStyle name="Accent1 12" xfId="42"/>
    <cellStyle name="Accent1 13" xfId="43"/>
    <cellStyle name="Accent1 14" xfId="44"/>
    <cellStyle name="Accent1 15" xfId="45"/>
    <cellStyle name="Accent1 16" xfId="46"/>
    <cellStyle name="Accent1 17" xfId="47"/>
    <cellStyle name="Accent1 18" xfId="48"/>
    <cellStyle name="Accent1 19" xfId="49"/>
    <cellStyle name="Accent1 2" xfId="50"/>
    <cellStyle name="Accent1 20" xfId="51"/>
    <cellStyle name="Accent1 21" xfId="52"/>
    <cellStyle name="Accent1 22" xfId="53"/>
    <cellStyle name="Accent1 23" xfId="54"/>
    <cellStyle name="Accent1 24" xfId="55"/>
    <cellStyle name="Accent1 25" xfId="56"/>
    <cellStyle name="Accent1 26" xfId="57"/>
    <cellStyle name="Accent1 27" xfId="58"/>
    <cellStyle name="Accent1 28" xfId="59"/>
    <cellStyle name="Accent1 29" xfId="60"/>
    <cellStyle name="Accent1 3" xfId="61"/>
    <cellStyle name="Accent1 30" xfId="62"/>
    <cellStyle name="Accent1 31" xfId="63"/>
    <cellStyle name="Accent1 32" xfId="64"/>
    <cellStyle name="Accent1 33" xfId="65"/>
    <cellStyle name="Accent1 34" xfId="66"/>
    <cellStyle name="Accent1 35" xfId="67"/>
    <cellStyle name="Accent1 36" xfId="68"/>
    <cellStyle name="Accent1 37" xfId="69"/>
    <cellStyle name="Accent1 38" xfId="70"/>
    <cellStyle name="Accent1 39" xfId="71"/>
    <cellStyle name="Accent1 4" xfId="72"/>
    <cellStyle name="Accent1 40" xfId="73"/>
    <cellStyle name="Accent1 41" xfId="74"/>
    <cellStyle name="Accent1 5" xfId="75"/>
    <cellStyle name="Accent1 6" xfId="76"/>
    <cellStyle name="Accent1 7" xfId="77"/>
    <cellStyle name="Accent1 8" xfId="78"/>
    <cellStyle name="Accent1 9" xfId="79"/>
    <cellStyle name="Accent2" xfId="402" builtinId="33" customBuiltin="1"/>
    <cellStyle name="Accent2 - 20%" xfId="80"/>
    <cellStyle name="Accent2 - 40%" xfId="81"/>
    <cellStyle name="Accent2 - 60%" xfId="82"/>
    <cellStyle name="Accent2 10" xfId="83"/>
    <cellStyle name="Accent2 11" xfId="84"/>
    <cellStyle name="Accent2 12" xfId="85"/>
    <cellStyle name="Accent2 13" xfId="86"/>
    <cellStyle name="Accent2 14" xfId="87"/>
    <cellStyle name="Accent2 15" xfId="88"/>
    <cellStyle name="Accent2 16" xfId="89"/>
    <cellStyle name="Accent2 17" xfId="90"/>
    <cellStyle name="Accent2 18" xfId="91"/>
    <cellStyle name="Accent2 19" xfId="92"/>
    <cellStyle name="Accent2 2" xfId="93"/>
    <cellStyle name="Accent2 20" xfId="94"/>
    <cellStyle name="Accent2 21" xfId="95"/>
    <cellStyle name="Accent2 22" xfId="96"/>
    <cellStyle name="Accent2 23" xfId="97"/>
    <cellStyle name="Accent2 24" xfId="98"/>
    <cellStyle name="Accent2 25" xfId="99"/>
    <cellStyle name="Accent2 26" xfId="100"/>
    <cellStyle name="Accent2 27" xfId="101"/>
    <cellStyle name="Accent2 28" xfId="102"/>
    <cellStyle name="Accent2 29" xfId="103"/>
    <cellStyle name="Accent2 3" xfId="104"/>
    <cellStyle name="Accent2 30" xfId="105"/>
    <cellStyle name="Accent2 31" xfId="106"/>
    <cellStyle name="Accent2 32" xfId="107"/>
    <cellStyle name="Accent2 33" xfId="108"/>
    <cellStyle name="Accent2 34" xfId="109"/>
    <cellStyle name="Accent2 35" xfId="110"/>
    <cellStyle name="Accent2 36" xfId="111"/>
    <cellStyle name="Accent2 37" xfId="112"/>
    <cellStyle name="Accent2 38" xfId="113"/>
    <cellStyle name="Accent2 39" xfId="114"/>
    <cellStyle name="Accent2 4" xfId="115"/>
    <cellStyle name="Accent2 40" xfId="116"/>
    <cellStyle name="Accent2 41" xfId="117"/>
    <cellStyle name="Accent2 5" xfId="118"/>
    <cellStyle name="Accent2 6" xfId="119"/>
    <cellStyle name="Accent2 7" xfId="120"/>
    <cellStyle name="Accent2 8" xfId="121"/>
    <cellStyle name="Accent2 9" xfId="122"/>
    <cellStyle name="Accent3" xfId="406" builtinId="37" customBuiltin="1"/>
    <cellStyle name="Accent3 - 20%" xfId="123"/>
    <cellStyle name="Accent3 - 40%" xfId="124"/>
    <cellStyle name="Accent3 - 60%" xfId="125"/>
    <cellStyle name="Accent3 10" xfId="126"/>
    <cellStyle name="Accent3 11" xfId="127"/>
    <cellStyle name="Accent3 12" xfId="128"/>
    <cellStyle name="Accent3 13" xfId="129"/>
    <cellStyle name="Accent3 14" xfId="130"/>
    <cellStyle name="Accent3 15" xfId="131"/>
    <cellStyle name="Accent3 16" xfId="132"/>
    <cellStyle name="Accent3 17" xfId="133"/>
    <cellStyle name="Accent3 18" xfId="134"/>
    <cellStyle name="Accent3 19" xfId="135"/>
    <cellStyle name="Accent3 2" xfId="136"/>
    <cellStyle name="Accent3 20" xfId="137"/>
    <cellStyle name="Accent3 21" xfId="138"/>
    <cellStyle name="Accent3 22" xfId="139"/>
    <cellStyle name="Accent3 23" xfId="140"/>
    <cellStyle name="Accent3 24" xfId="141"/>
    <cellStyle name="Accent3 25" xfId="142"/>
    <cellStyle name="Accent3 26" xfId="143"/>
    <cellStyle name="Accent3 27" xfId="144"/>
    <cellStyle name="Accent3 28" xfId="145"/>
    <cellStyle name="Accent3 29" xfId="146"/>
    <cellStyle name="Accent3 3" xfId="147"/>
    <cellStyle name="Accent3 30" xfId="148"/>
    <cellStyle name="Accent3 31" xfId="149"/>
    <cellStyle name="Accent3 32" xfId="150"/>
    <cellStyle name="Accent3 33" xfId="151"/>
    <cellStyle name="Accent3 34" xfId="152"/>
    <cellStyle name="Accent3 35" xfId="153"/>
    <cellStyle name="Accent3 36" xfId="154"/>
    <cellStyle name="Accent3 37" xfId="155"/>
    <cellStyle name="Accent3 38" xfId="156"/>
    <cellStyle name="Accent3 39" xfId="157"/>
    <cellStyle name="Accent3 4" xfId="158"/>
    <cellStyle name="Accent3 40" xfId="159"/>
    <cellStyle name="Accent3 41" xfId="160"/>
    <cellStyle name="Accent3 5" xfId="161"/>
    <cellStyle name="Accent3 6" xfId="162"/>
    <cellStyle name="Accent3 7" xfId="163"/>
    <cellStyle name="Accent3 8" xfId="164"/>
    <cellStyle name="Accent3 9" xfId="165"/>
    <cellStyle name="Accent4" xfId="410" builtinId="41" customBuiltin="1"/>
    <cellStyle name="Accent4 - 20%" xfId="166"/>
    <cellStyle name="Accent4 - 40%" xfId="167"/>
    <cellStyle name="Accent4 - 60%" xfId="168"/>
    <cellStyle name="Accent4 10" xfId="169"/>
    <cellStyle name="Accent4 11" xfId="170"/>
    <cellStyle name="Accent4 12" xfId="171"/>
    <cellStyle name="Accent4 13" xfId="172"/>
    <cellStyle name="Accent4 14" xfId="173"/>
    <cellStyle name="Accent4 15" xfId="174"/>
    <cellStyle name="Accent4 16" xfId="175"/>
    <cellStyle name="Accent4 17" xfId="176"/>
    <cellStyle name="Accent4 18" xfId="177"/>
    <cellStyle name="Accent4 19" xfId="178"/>
    <cellStyle name="Accent4 2" xfId="179"/>
    <cellStyle name="Accent4 20" xfId="180"/>
    <cellStyle name="Accent4 21" xfId="181"/>
    <cellStyle name="Accent4 22" xfId="182"/>
    <cellStyle name="Accent4 23" xfId="183"/>
    <cellStyle name="Accent4 24" xfId="184"/>
    <cellStyle name="Accent4 25" xfId="185"/>
    <cellStyle name="Accent4 26" xfId="186"/>
    <cellStyle name="Accent4 27" xfId="187"/>
    <cellStyle name="Accent4 28" xfId="188"/>
    <cellStyle name="Accent4 29" xfId="189"/>
    <cellStyle name="Accent4 3" xfId="190"/>
    <cellStyle name="Accent4 30" xfId="191"/>
    <cellStyle name="Accent4 31" xfId="192"/>
    <cellStyle name="Accent4 32" xfId="193"/>
    <cellStyle name="Accent4 33" xfId="194"/>
    <cellStyle name="Accent4 34" xfId="195"/>
    <cellStyle name="Accent4 35" xfId="196"/>
    <cellStyle name="Accent4 36" xfId="197"/>
    <cellStyle name="Accent4 37" xfId="198"/>
    <cellStyle name="Accent4 38" xfId="199"/>
    <cellStyle name="Accent4 39" xfId="200"/>
    <cellStyle name="Accent4 4" xfId="201"/>
    <cellStyle name="Accent4 40" xfId="202"/>
    <cellStyle name="Accent4 41" xfId="203"/>
    <cellStyle name="Accent4 5" xfId="204"/>
    <cellStyle name="Accent4 6" xfId="205"/>
    <cellStyle name="Accent4 7" xfId="206"/>
    <cellStyle name="Accent4 8" xfId="207"/>
    <cellStyle name="Accent4 9" xfId="208"/>
    <cellStyle name="Accent5" xfId="414" builtinId="45" customBuiltin="1"/>
    <cellStyle name="Accent5 - 20%" xfId="209"/>
    <cellStyle name="Accent5 - 40%" xfId="210"/>
    <cellStyle name="Accent5 - 60%" xfId="211"/>
    <cellStyle name="Accent5 10" xfId="212"/>
    <cellStyle name="Accent5 11" xfId="213"/>
    <cellStyle name="Accent5 12" xfId="214"/>
    <cellStyle name="Accent5 13" xfId="215"/>
    <cellStyle name="Accent5 14" xfId="216"/>
    <cellStyle name="Accent5 15" xfId="217"/>
    <cellStyle name="Accent5 16" xfId="218"/>
    <cellStyle name="Accent5 17" xfId="219"/>
    <cellStyle name="Accent5 18" xfId="220"/>
    <cellStyle name="Accent5 19" xfId="221"/>
    <cellStyle name="Accent5 2" xfId="222"/>
    <cellStyle name="Accent5 20" xfId="223"/>
    <cellStyle name="Accent5 21" xfId="224"/>
    <cellStyle name="Accent5 22" xfId="225"/>
    <cellStyle name="Accent5 23" xfId="226"/>
    <cellStyle name="Accent5 24" xfId="227"/>
    <cellStyle name="Accent5 25" xfId="228"/>
    <cellStyle name="Accent5 26" xfId="229"/>
    <cellStyle name="Accent5 27" xfId="230"/>
    <cellStyle name="Accent5 28" xfId="231"/>
    <cellStyle name="Accent5 29" xfId="232"/>
    <cellStyle name="Accent5 3" xfId="233"/>
    <cellStyle name="Accent5 30" xfId="234"/>
    <cellStyle name="Accent5 31" xfId="235"/>
    <cellStyle name="Accent5 32" xfId="236"/>
    <cellStyle name="Accent5 33" xfId="237"/>
    <cellStyle name="Accent5 34" xfId="238"/>
    <cellStyle name="Accent5 35" xfId="239"/>
    <cellStyle name="Accent5 36" xfId="240"/>
    <cellStyle name="Accent5 37" xfId="241"/>
    <cellStyle name="Accent5 38" xfId="242"/>
    <cellStyle name="Accent5 39" xfId="243"/>
    <cellStyle name="Accent5 4" xfId="244"/>
    <cellStyle name="Accent5 40" xfId="245"/>
    <cellStyle name="Accent5 41" xfId="246"/>
    <cellStyle name="Accent5 5" xfId="247"/>
    <cellStyle name="Accent5 6" xfId="248"/>
    <cellStyle name="Accent5 7" xfId="249"/>
    <cellStyle name="Accent5 8" xfId="250"/>
    <cellStyle name="Accent5 9" xfId="251"/>
    <cellStyle name="Accent6" xfId="418" builtinId="49" customBuiltin="1"/>
    <cellStyle name="Accent6 - 20%" xfId="252"/>
    <cellStyle name="Accent6 - 40%" xfId="253"/>
    <cellStyle name="Accent6 - 60%" xfId="254"/>
    <cellStyle name="Accent6 10" xfId="255"/>
    <cellStyle name="Accent6 11" xfId="256"/>
    <cellStyle name="Accent6 12" xfId="257"/>
    <cellStyle name="Accent6 13" xfId="258"/>
    <cellStyle name="Accent6 14" xfId="259"/>
    <cellStyle name="Accent6 15" xfId="260"/>
    <cellStyle name="Accent6 16" xfId="261"/>
    <cellStyle name="Accent6 17" xfId="262"/>
    <cellStyle name="Accent6 18" xfId="263"/>
    <cellStyle name="Accent6 19" xfId="264"/>
    <cellStyle name="Accent6 2" xfId="265"/>
    <cellStyle name="Accent6 20" xfId="266"/>
    <cellStyle name="Accent6 21" xfId="267"/>
    <cellStyle name="Accent6 22" xfId="268"/>
    <cellStyle name="Accent6 23" xfId="269"/>
    <cellStyle name="Accent6 24" xfId="270"/>
    <cellStyle name="Accent6 25" xfId="271"/>
    <cellStyle name="Accent6 26" xfId="272"/>
    <cellStyle name="Accent6 27" xfId="273"/>
    <cellStyle name="Accent6 28" xfId="274"/>
    <cellStyle name="Accent6 29" xfId="275"/>
    <cellStyle name="Accent6 3" xfId="276"/>
    <cellStyle name="Accent6 30" xfId="277"/>
    <cellStyle name="Accent6 31" xfId="278"/>
    <cellStyle name="Accent6 32" xfId="279"/>
    <cellStyle name="Accent6 33" xfId="280"/>
    <cellStyle name="Accent6 34" xfId="281"/>
    <cellStyle name="Accent6 35" xfId="282"/>
    <cellStyle name="Accent6 36" xfId="283"/>
    <cellStyle name="Accent6 37" xfId="284"/>
    <cellStyle name="Accent6 38" xfId="285"/>
    <cellStyle name="Accent6 39" xfId="286"/>
    <cellStyle name="Accent6 4" xfId="287"/>
    <cellStyle name="Accent6 40" xfId="288"/>
    <cellStyle name="Accent6 41" xfId="289"/>
    <cellStyle name="Accent6 5" xfId="290"/>
    <cellStyle name="Accent6 6" xfId="291"/>
    <cellStyle name="Accent6 7" xfId="292"/>
    <cellStyle name="Accent6 8" xfId="293"/>
    <cellStyle name="Accent6 9" xfId="294"/>
    <cellStyle name="Bad" xfId="388" builtinId="27" customBuiltin="1"/>
    <cellStyle name="Bad 2" xfId="295"/>
    <cellStyle name="Bad 3" xfId="296"/>
    <cellStyle name="Berekening" xfId="297"/>
    <cellStyle name="Bladtitel" xfId="298"/>
    <cellStyle name="Calculation" xfId="392" builtinId="22" customBuiltin="1"/>
    <cellStyle name="Calculation 2" xfId="299"/>
    <cellStyle name="Calculation 3" xfId="300"/>
    <cellStyle name="Check Cell" xfId="394" builtinId="23" customBuiltin="1"/>
    <cellStyle name="Check Cell 2" xfId="301"/>
    <cellStyle name="Check Cell 3" xfId="302"/>
    <cellStyle name="Controlecel" xfId="303"/>
    <cellStyle name="Explanatory Text" xfId="396" builtinId="53" customBuiltin="1"/>
    <cellStyle name="Explanatory Text 2" xfId="304"/>
    <cellStyle name="Explanatory Text 3" xfId="305"/>
    <cellStyle name="Gekoppelde cel" xfId="306"/>
    <cellStyle name="Goed" xfId="307"/>
    <cellStyle name="Good" xfId="387" builtinId="26" customBuiltin="1"/>
    <cellStyle name="Good 2" xfId="308"/>
    <cellStyle name="Good 3" xfId="309"/>
    <cellStyle name="Heading 1" xfId="383" builtinId="16" customBuiltin="1"/>
    <cellStyle name="Heading 1 2" xfId="310"/>
    <cellStyle name="Heading 1 3" xfId="311"/>
    <cellStyle name="Heading 2" xfId="384" builtinId="17" customBuiltin="1"/>
    <cellStyle name="Heading 2 2" xfId="312"/>
    <cellStyle name="Heading 2 3" xfId="313"/>
    <cellStyle name="Heading 3" xfId="385" builtinId="18" customBuiltin="1"/>
    <cellStyle name="Heading 3 2" xfId="314"/>
    <cellStyle name="Heading 3 3" xfId="315"/>
    <cellStyle name="Heading 4" xfId="386" builtinId="19" customBuiltin="1"/>
    <cellStyle name="Heading 4 2" xfId="316"/>
    <cellStyle name="Heading 4 3" xfId="317"/>
    <cellStyle name="Hyperlink 2" xfId="318"/>
    <cellStyle name="Input" xfId="390" builtinId="20" customBuiltin="1"/>
    <cellStyle name="Input 2" xfId="319"/>
    <cellStyle name="Input 3" xfId="320"/>
    <cellStyle name="Invoer" xfId="321"/>
    <cellStyle name="Kop 1" xfId="322"/>
    <cellStyle name="Kop 2" xfId="323"/>
    <cellStyle name="Kop 3" xfId="324"/>
    <cellStyle name="Kop 4" xfId="325"/>
    <cellStyle name="Linked Cell" xfId="393" builtinId="24" customBuiltin="1"/>
    <cellStyle name="Linked Cell 2" xfId="326"/>
    <cellStyle name="Linked Cell 3" xfId="327"/>
    <cellStyle name="Neutraal" xfId="328"/>
    <cellStyle name="Neutral" xfId="389" builtinId="28" customBuiltin="1"/>
    <cellStyle name="Neutral 2" xfId="329"/>
    <cellStyle name="Neutral 3" xfId="330"/>
    <cellStyle name="Normal" xfId="0" builtinId="0"/>
    <cellStyle name="Normal 10" xfId="331"/>
    <cellStyle name="Normal 11" xfId="332"/>
    <cellStyle name="Normal 12" xfId="333"/>
    <cellStyle name="Normal 13" xfId="334"/>
    <cellStyle name="Normal 14" xfId="335"/>
    <cellStyle name="Normal 15" xfId="336"/>
    <cellStyle name="Normal 16" xfId="337"/>
    <cellStyle name="Normal 17" xfId="422"/>
    <cellStyle name="Normal 18" xfId="424"/>
    <cellStyle name="Normal 2" xfId="338"/>
    <cellStyle name="Normal 2 2" xfId="339"/>
    <cellStyle name="Normal 3" xfId="340"/>
    <cellStyle name="Normal 3 2" xfId="341"/>
    <cellStyle name="Normal 3 3" xfId="342"/>
    <cellStyle name="Normal 4" xfId="343"/>
    <cellStyle name="Normal 4 2" xfId="344"/>
    <cellStyle name="Normal 4 3" xfId="345"/>
    <cellStyle name="Normal 5" xfId="346"/>
    <cellStyle name="Normal 6" xfId="347"/>
    <cellStyle name="Normal 6 2" xfId="348"/>
    <cellStyle name="Normal 7" xfId="349"/>
    <cellStyle name="Normal 8" xfId="350"/>
    <cellStyle name="Normal 8 2" xfId="351"/>
    <cellStyle name="Normal 9" xfId="352"/>
    <cellStyle name="Normal 9 2" xfId="353"/>
    <cellStyle name="Note 2" xfId="354"/>
    <cellStyle name="Note 2 2" xfId="355"/>
    <cellStyle name="Note 2 3" xfId="356"/>
    <cellStyle name="Note 2 4" xfId="357"/>
    <cellStyle name="Note 3" xfId="358"/>
    <cellStyle name="Note 3 2" xfId="359"/>
    <cellStyle name="Note 3 3" xfId="360"/>
    <cellStyle name="Note 4" xfId="361"/>
    <cellStyle name="Note 5" xfId="362"/>
    <cellStyle name="Note 6" xfId="363"/>
    <cellStyle name="Note 7" xfId="423"/>
    <cellStyle name="Notitie" xfId="364"/>
    <cellStyle name="Ongeldig" xfId="365"/>
    <cellStyle name="Output" xfId="391" builtinId="21" customBuiltin="1"/>
    <cellStyle name="Output 2" xfId="366"/>
    <cellStyle name="Output 3" xfId="367"/>
    <cellStyle name="Percent 2" xfId="368"/>
    <cellStyle name="Percent 3" xfId="369"/>
    <cellStyle name="Percent 4" xfId="370"/>
    <cellStyle name="Percent 4 2" xfId="371"/>
    <cellStyle name="Percent 5" xfId="372"/>
    <cellStyle name="Percent 6" xfId="373"/>
    <cellStyle name="Title" xfId="374" builtinId="15" customBuiltin="1"/>
    <cellStyle name="Totaal" xfId="375"/>
    <cellStyle name="Total" xfId="397" builtinId="25" customBuiltin="1"/>
    <cellStyle name="Total 2" xfId="376"/>
    <cellStyle name="Total 3" xfId="377"/>
    <cellStyle name="Uitvoer" xfId="378"/>
    <cellStyle name="Verklarende tekst" xfId="379"/>
    <cellStyle name="Waarschuwingstekst" xfId="380"/>
    <cellStyle name="Warning Text" xfId="395" builtinId="11" customBuiltin="1"/>
    <cellStyle name="Warning Text 2" xfId="381"/>
    <cellStyle name="Warning Text 3" xfId="382"/>
  </cellStyles>
  <dxfs count="3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00B0F0"/>
          <bgColor rgb="FF000000"/>
        </patternFill>
      </fill>
    </dxf>
  </dxfs>
  <tableStyles count="2" defaultTableStyle="TableStyleMedium2" defaultPivotStyle="PivotStyleLight16">
    <tableStyle name="PivotTable Style 1" table="0" count="0"/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C831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27</xdr:col>
      <xdr:colOff>223436</xdr:colOff>
      <xdr:row>1</xdr:row>
      <xdr:rowOff>309562</xdr:rowOff>
    </xdr:from>
    <xdr:to>
      <xdr:col>34</xdr:col>
      <xdr:colOff>219</xdr:colOff>
      <xdr:row>5</xdr:row>
      <xdr:rowOff>155574</xdr:rowOff>
    </xdr:to>
    <xdr:sp macro="" textlink="">
      <xdr:nvSpPr>
        <xdr:cNvPr id="38101" name="Text Box 213" hidden="1"/>
        <xdr:cNvSpPr txBox="1">
          <a:spLocks noChangeArrowheads="1"/>
        </xdr:cNvSpPr>
      </xdr:nvSpPr>
      <xdr:spPr bwMode="auto">
        <a:xfrm>
          <a:off x="12592050" y="495300"/>
          <a:ext cx="1609725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11"/>
  </sheetPr>
  <dimension ref="A1:D57"/>
  <sheetViews>
    <sheetView tabSelected="1" workbookViewId="0">
      <selection activeCell="B9" sqref="B9"/>
    </sheetView>
  </sheetViews>
  <sheetFormatPr defaultColWidth="11.44140625" defaultRowHeight="10.199999999999999" x14ac:dyDescent="0.2"/>
  <cols>
    <col min="1" max="1" width="40.44140625" style="34" bestFit="1" customWidth="1"/>
    <col min="2" max="2" width="10.44140625" style="34" customWidth="1"/>
    <col min="3" max="3" width="26.5546875" style="34" bestFit="1" customWidth="1"/>
    <col min="4" max="4" width="14" style="34" customWidth="1"/>
    <col min="5" max="16384" width="11.44140625" style="34"/>
  </cols>
  <sheetData>
    <row r="1" spans="1:4" x14ac:dyDescent="0.2">
      <c r="A1" s="33" t="s">
        <v>15</v>
      </c>
      <c r="B1" s="69" t="s">
        <v>16</v>
      </c>
      <c r="C1" s="69"/>
      <c r="D1" s="69"/>
    </row>
    <row r="2" spans="1:4" x14ac:dyDescent="0.2">
      <c r="A2" s="34" t="s">
        <v>17</v>
      </c>
      <c r="B2" s="70">
        <v>150</v>
      </c>
      <c r="C2" s="70"/>
      <c r="D2" s="70"/>
    </row>
    <row r="3" spans="1:4" x14ac:dyDescent="0.2">
      <c r="A3" s="34" t="s">
        <v>18</v>
      </c>
      <c r="B3" s="70">
        <v>100</v>
      </c>
      <c r="C3" s="70"/>
      <c r="D3" s="70"/>
    </row>
    <row r="4" spans="1:4" x14ac:dyDescent="0.2">
      <c r="A4" s="34" t="s">
        <v>19</v>
      </c>
      <c r="B4" s="70">
        <v>50</v>
      </c>
      <c r="C4" s="70"/>
      <c r="D4" s="70"/>
    </row>
    <row r="5" spans="1:4" x14ac:dyDescent="0.2">
      <c r="A5" s="34" t="s">
        <v>81</v>
      </c>
      <c r="B5" s="70"/>
      <c r="C5" s="70"/>
      <c r="D5" s="70"/>
    </row>
    <row r="6" spans="1:4" x14ac:dyDescent="0.2">
      <c r="B6" s="70"/>
      <c r="C6" s="70"/>
      <c r="D6" s="70"/>
    </row>
    <row r="7" spans="1:4" x14ac:dyDescent="0.2">
      <c r="A7" s="33" t="s">
        <v>66</v>
      </c>
      <c r="B7" s="69" t="s">
        <v>16</v>
      </c>
      <c r="C7" s="69"/>
      <c r="D7" s="69"/>
    </row>
    <row r="8" spans="1:4" x14ac:dyDescent="0.2">
      <c r="A8" s="34" t="s">
        <v>67</v>
      </c>
      <c r="B8" s="70">
        <v>15</v>
      </c>
      <c r="C8" s="70"/>
      <c r="D8" s="70"/>
    </row>
    <row r="9" spans="1:4" x14ac:dyDescent="0.2">
      <c r="A9" s="34" t="s">
        <v>68</v>
      </c>
      <c r="B9" s="70">
        <v>30</v>
      </c>
      <c r="C9" s="70"/>
      <c r="D9" s="70"/>
    </row>
    <row r="10" spans="1:4" x14ac:dyDescent="0.2">
      <c r="A10" s="34" t="s">
        <v>20</v>
      </c>
      <c r="B10" s="70">
        <v>45</v>
      </c>
      <c r="C10" s="70"/>
      <c r="D10" s="70"/>
    </row>
    <row r="11" spans="1:4" x14ac:dyDescent="0.2">
      <c r="A11" s="34" t="s">
        <v>21</v>
      </c>
      <c r="B11" s="70">
        <v>60</v>
      </c>
      <c r="C11" s="70"/>
      <c r="D11" s="70"/>
    </row>
    <row r="12" spans="1:4" x14ac:dyDescent="0.2">
      <c r="B12" s="70"/>
      <c r="C12" s="70"/>
      <c r="D12" s="70"/>
    </row>
    <row r="13" spans="1:4" x14ac:dyDescent="0.2">
      <c r="B13" s="70"/>
      <c r="C13" s="70"/>
      <c r="D13" s="70"/>
    </row>
    <row r="14" spans="1:4" x14ac:dyDescent="0.2">
      <c r="A14" s="35" t="s">
        <v>22</v>
      </c>
      <c r="B14" s="71" t="s">
        <v>16</v>
      </c>
      <c r="C14" s="71"/>
      <c r="D14" s="71"/>
    </row>
    <row r="15" spans="1:4" x14ac:dyDescent="0.2">
      <c r="A15" s="36" t="s">
        <v>23</v>
      </c>
      <c r="B15" s="72">
        <v>150</v>
      </c>
      <c r="C15" s="37" t="s">
        <v>24</v>
      </c>
      <c r="D15" s="72"/>
    </row>
    <row r="16" spans="1:4" x14ac:dyDescent="0.2">
      <c r="A16" s="36" t="s">
        <v>25</v>
      </c>
      <c r="B16" s="72">
        <v>80</v>
      </c>
      <c r="C16" s="37" t="s">
        <v>24</v>
      </c>
      <c r="D16" s="72"/>
    </row>
    <row r="17" spans="1:4" x14ac:dyDescent="0.2">
      <c r="A17" s="36" t="s">
        <v>26</v>
      </c>
      <c r="B17" s="72">
        <v>100</v>
      </c>
      <c r="C17" s="37" t="s">
        <v>24</v>
      </c>
      <c r="D17" s="72"/>
    </row>
    <row r="18" spans="1:4" x14ac:dyDescent="0.2">
      <c r="A18" s="36" t="s">
        <v>64</v>
      </c>
      <c r="B18" s="72">
        <v>30</v>
      </c>
      <c r="C18" s="37" t="s">
        <v>24</v>
      </c>
      <c r="D18" s="72"/>
    </row>
    <row r="19" spans="1:4" x14ac:dyDescent="0.2">
      <c r="A19" s="36" t="s">
        <v>9</v>
      </c>
      <c r="B19" s="72">
        <v>300</v>
      </c>
      <c r="C19" s="37" t="s">
        <v>24</v>
      </c>
      <c r="D19" s="72"/>
    </row>
    <row r="20" spans="1:4" x14ac:dyDescent="0.2">
      <c r="A20" s="36" t="s">
        <v>15</v>
      </c>
      <c r="B20" s="37" t="s">
        <v>65</v>
      </c>
      <c r="C20" s="72" t="s">
        <v>71</v>
      </c>
      <c r="D20" s="72"/>
    </row>
    <row r="21" spans="1:4" x14ac:dyDescent="0.2">
      <c r="A21" s="35"/>
      <c r="B21" s="72"/>
      <c r="C21" s="72"/>
      <c r="D21" s="72"/>
    </row>
    <row r="22" spans="1:4" x14ac:dyDescent="0.2">
      <c r="A22" s="36" t="s">
        <v>72</v>
      </c>
      <c r="B22" s="37"/>
      <c r="C22" s="37"/>
      <c r="D22" s="72"/>
    </row>
    <row r="23" spans="1:4" x14ac:dyDescent="0.2">
      <c r="A23" s="120" t="s">
        <v>66</v>
      </c>
      <c r="B23" s="72" t="s">
        <v>87</v>
      </c>
      <c r="C23" s="37" t="s">
        <v>88</v>
      </c>
      <c r="D23" s="72"/>
    </row>
    <row r="24" spans="1:4" x14ac:dyDescent="0.2">
      <c r="A24" s="120" t="s">
        <v>89</v>
      </c>
      <c r="B24" s="72">
        <v>1.5</v>
      </c>
      <c r="C24" s="70" t="s">
        <v>108</v>
      </c>
      <c r="D24" s="37"/>
    </row>
    <row r="25" spans="1:4" x14ac:dyDescent="0.2">
      <c r="A25" s="120" t="s">
        <v>135</v>
      </c>
      <c r="B25" s="72">
        <v>1.9</v>
      </c>
      <c r="C25" s="70" t="s">
        <v>108</v>
      </c>
      <c r="D25" s="37"/>
    </row>
    <row r="26" spans="1:4" x14ac:dyDescent="0.2">
      <c r="A26" s="120" t="s">
        <v>91</v>
      </c>
      <c r="B26" s="72">
        <v>3</v>
      </c>
      <c r="C26" s="37" t="s">
        <v>109</v>
      </c>
      <c r="D26" s="72"/>
    </row>
    <row r="27" spans="1:4" x14ac:dyDescent="0.2">
      <c r="A27" s="120" t="s">
        <v>92</v>
      </c>
      <c r="B27" s="72">
        <v>20</v>
      </c>
      <c r="C27" s="37" t="s">
        <v>90</v>
      </c>
      <c r="D27" s="72"/>
    </row>
    <row r="28" spans="1:4" x14ac:dyDescent="0.2">
      <c r="A28" s="36" t="s">
        <v>93</v>
      </c>
      <c r="B28" s="72">
        <v>10</v>
      </c>
      <c r="C28" s="37" t="s">
        <v>90</v>
      </c>
      <c r="D28" s="72"/>
    </row>
    <row r="29" spans="1:4" x14ac:dyDescent="0.2">
      <c r="A29" s="36" t="s">
        <v>104</v>
      </c>
      <c r="B29" s="72">
        <v>1.5</v>
      </c>
      <c r="C29" s="37" t="s">
        <v>94</v>
      </c>
      <c r="D29" s="72"/>
    </row>
    <row r="30" spans="1:4" x14ac:dyDescent="0.2">
      <c r="A30" s="35" t="s">
        <v>95</v>
      </c>
      <c r="B30" s="72">
        <v>1.5</v>
      </c>
      <c r="C30" s="37" t="s">
        <v>94</v>
      </c>
      <c r="D30" s="71"/>
    </row>
    <row r="31" spans="1:4" x14ac:dyDescent="0.2">
      <c r="A31" s="36"/>
      <c r="B31" s="72"/>
      <c r="C31" s="37"/>
      <c r="D31" s="72"/>
    </row>
    <row r="32" spans="1:4" x14ac:dyDescent="0.2">
      <c r="A32" s="36"/>
      <c r="B32" s="72"/>
      <c r="C32" s="37"/>
      <c r="D32" s="72"/>
    </row>
    <row r="33" spans="1:4" x14ac:dyDescent="0.2">
      <c r="A33" s="36"/>
      <c r="B33" s="72"/>
      <c r="C33" s="37"/>
      <c r="D33" s="72"/>
    </row>
    <row r="34" spans="1:4" x14ac:dyDescent="0.2">
      <c r="A34" s="36"/>
      <c r="B34" s="72"/>
      <c r="C34" s="37"/>
      <c r="D34" s="72"/>
    </row>
    <row r="35" spans="1:4" x14ac:dyDescent="0.2">
      <c r="A35" s="36"/>
      <c r="B35" s="72"/>
      <c r="C35" s="37"/>
      <c r="D35" s="72"/>
    </row>
    <row r="36" spans="1:4" x14ac:dyDescent="0.2">
      <c r="A36" s="36"/>
      <c r="B36" s="72"/>
      <c r="C36" s="37"/>
      <c r="D36" s="72"/>
    </row>
    <row r="37" spans="1:4" x14ac:dyDescent="0.2">
      <c r="A37" s="36"/>
      <c r="B37" s="72"/>
      <c r="C37" s="37"/>
      <c r="D37" s="72"/>
    </row>
    <row r="38" spans="1:4" x14ac:dyDescent="0.2">
      <c r="A38" s="36"/>
      <c r="B38" s="72"/>
      <c r="C38" s="37"/>
      <c r="D38" s="72"/>
    </row>
    <row r="39" spans="1:4" x14ac:dyDescent="0.2">
      <c r="A39" s="33" t="s">
        <v>110</v>
      </c>
    </row>
    <row r="40" spans="1:4" x14ac:dyDescent="0.2">
      <c r="A40" s="34" t="s">
        <v>111</v>
      </c>
      <c r="B40" s="34">
        <v>1</v>
      </c>
      <c r="C40" s="34" t="s">
        <v>112</v>
      </c>
    </row>
    <row r="41" spans="1:4" x14ac:dyDescent="0.2">
      <c r="A41" s="34" t="s">
        <v>125</v>
      </c>
      <c r="B41" s="34">
        <v>800</v>
      </c>
      <c r="C41" s="34" t="s">
        <v>24</v>
      </c>
    </row>
    <row r="42" spans="1:4" x14ac:dyDescent="0.2">
      <c r="A42" s="34" t="s">
        <v>7</v>
      </c>
      <c r="B42" s="34">
        <v>25</v>
      </c>
      <c r="C42" s="34" t="s">
        <v>24</v>
      </c>
    </row>
    <row r="43" spans="1:4" x14ac:dyDescent="0.2">
      <c r="A43" s="34" t="s">
        <v>113</v>
      </c>
      <c r="B43" s="34">
        <v>50</v>
      </c>
      <c r="C43" s="34" t="s">
        <v>24</v>
      </c>
    </row>
    <row r="44" spans="1:4" x14ac:dyDescent="0.2">
      <c r="A44" s="34" t="s">
        <v>114</v>
      </c>
      <c r="B44" s="34">
        <v>25</v>
      </c>
      <c r="C44" s="34" t="s">
        <v>24</v>
      </c>
    </row>
    <row r="45" spans="1:4" x14ac:dyDescent="0.2">
      <c r="A45" s="34" t="s">
        <v>96</v>
      </c>
      <c r="B45" s="34">
        <v>100</v>
      </c>
      <c r="C45" s="34" t="s">
        <v>24</v>
      </c>
    </row>
    <row r="46" spans="1:4" x14ac:dyDescent="0.2">
      <c r="A46" s="34" t="s">
        <v>115</v>
      </c>
      <c r="B46" s="34">
        <v>130</v>
      </c>
      <c r="C46" s="34" t="s">
        <v>24</v>
      </c>
    </row>
    <row r="47" spans="1:4" x14ac:dyDescent="0.2">
      <c r="A47" s="34" t="s">
        <v>6</v>
      </c>
      <c r="B47" s="34">
        <v>20</v>
      </c>
      <c r="C47" s="34" t="s">
        <v>24</v>
      </c>
    </row>
    <row r="48" spans="1:4" x14ac:dyDescent="0.2">
      <c r="A48" s="34" t="s">
        <v>97</v>
      </c>
      <c r="B48" s="34">
        <v>700</v>
      </c>
      <c r="C48" s="34" t="s">
        <v>24</v>
      </c>
    </row>
    <row r="49" spans="1:3" x14ac:dyDescent="0.2">
      <c r="A49" s="34" t="s">
        <v>116</v>
      </c>
      <c r="B49" s="34">
        <v>12</v>
      </c>
      <c r="C49" s="34" t="s">
        <v>117</v>
      </c>
    </row>
    <row r="50" spans="1:3" x14ac:dyDescent="0.2">
      <c r="A50" s="34" t="s">
        <v>118</v>
      </c>
      <c r="B50" s="34">
        <v>4</v>
      </c>
      <c r="C50" s="34" t="s">
        <v>117</v>
      </c>
    </row>
    <row r="51" spans="1:3" x14ac:dyDescent="0.2">
      <c r="A51" s="34" t="s">
        <v>85</v>
      </c>
      <c r="B51" s="34">
        <v>120</v>
      </c>
      <c r="C51" s="34" t="s">
        <v>24</v>
      </c>
    </row>
    <row r="52" spans="1:3" x14ac:dyDescent="0.2">
      <c r="A52" s="34" t="s">
        <v>119</v>
      </c>
      <c r="B52" s="34">
        <v>120</v>
      </c>
      <c r="C52" s="34" t="s">
        <v>24</v>
      </c>
    </row>
    <row r="53" spans="1:3" x14ac:dyDescent="0.2">
      <c r="A53" s="34" t="s">
        <v>120</v>
      </c>
      <c r="B53" s="34">
        <v>20</v>
      </c>
      <c r="C53" s="34" t="s">
        <v>121</v>
      </c>
    </row>
    <row r="54" spans="1:3" x14ac:dyDescent="0.2">
      <c r="A54" s="34" t="s">
        <v>122</v>
      </c>
      <c r="B54" s="34">
        <v>1</v>
      </c>
      <c r="C54" s="34" t="s">
        <v>24</v>
      </c>
    </row>
    <row r="55" spans="1:3" x14ac:dyDescent="0.2">
      <c r="A55" s="34" t="s">
        <v>123</v>
      </c>
      <c r="B55" s="34">
        <v>800</v>
      </c>
      <c r="C55" s="34" t="s">
        <v>24</v>
      </c>
    </row>
    <row r="56" spans="1:3" x14ac:dyDescent="0.2">
      <c r="A56" s="34" t="s">
        <v>58</v>
      </c>
      <c r="B56" s="34">
        <v>100</v>
      </c>
      <c r="C56" s="34" t="s">
        <v>24</v>
      </c>
    </row>
    <row r="57" spans="1:3" x14ac:dyDescent="0.2">
      <c r="A57" s="34" t="s">
        <v>124</v>
      </c>
      <c r="B57" s="34">
        <v>1500</v>
      </c>
      <c r="C57" s="34" t="s">
        <v>24</v>
      </c>
    </row>
  </sheetData>
  <phoneticPr fontId="4" type="noConversion"/>
  <pageMargins left="0.45" right="0.26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EC63"/>
  <sheetViews>
    <sheetView zoomScale="112" zoomScaleNormal="112" workbookViewId="0">
      <pane xSplit="4" ySplit="3" topLeftCell="BD4" activePane="bottomRight" state="frozen"/>
      <selection activeCell="AZ2" sqref="AZ2"/>
      <selection pane="topRight" activeCell="AZ2" sqref="AZ2"/>
      <selection pane="bottomLeft" activeCell="AZ2" sqref="AZ2"/>
      <selection pane="bottomRight" activeCell="BM13" sqref="BM13"/>
    </sheetView>
  </sheetViews>
  <sheetFormatPr defaultColWidth="8.88671875" defaultRowHeight="10.199999999999999" x14ac:dyDescent="0.2"/>
  <cols>
    <col min="1" max="1" width="9.5546875" style="1" customWidth="1"/>
    <col min="2" max="2" width="61.44140625" style="128" bestFit="1" customWidth="1"/>
    <col min="3" max="3" width="10" style="1" customWidth="1"/>
    <col min="4" max="4" width="22.6640625" style="1" bestFit="1" customWidth="1"/>
    <col min="5" max="5" width="8.5546875" style="2" bestFit="1" customWidth="1"/>
    <col min="6" max="6" width="4.6640625" style="1" customWidth="1"/>
    <col min="7" max="7" width="4.88671875" style="1" customWidth="1"/>
    <col min="8" max="8" width="6.44140625" style="1" customWidth="1"/>
    <col min="9" max="9" width="4.88671875" style="1" customWidth="1"/>
    <col min="10" max="10" width="4.5546875" style="1" customWidth="1"/>
    <col min="11" max="11" width="6.44140625" style="1" customWidth="1"/>
    <col min="12" max="13" width="8.44140625" style="3" customWidth="1"/>
    <col min="14" max="14" width="8.109375" style="1" customWidth="1"/>
    <col min="15" max="15" width="4.5546875" style="4" customWidth="1"/>
    <col min="16" max="16" width="4.33203125" style="4" customWidth="1"/>
    <col min="17" max="17" width="3.5546875" style="4" customWidth="1"/>
    <col min="18" max="18" width="4.33203125" style="4" customWidth="1"/>
    <col min="19" max="19" width="3.5546875" style="4" customWidth="1"/>
    <col min="20" max="20" width="5.33203125" style="4" customWidth="1"/>
    <col min="21" max="22" width="3.5546875" style="4" customWidth="1"/>
    <col min="23" max="23" width="4.33203125" style="4" customWidth="1"/>
    <col min="24" max="26" width="3.5546875" style="4" customWidth="1"/>
    <col min="27" max="27" width="3.5546875" style="5" customWidth="1"/>
    <col min="28" max="29" width="3.88671875" style="4" customWidth="1"/>
    <col min="30" max="30" width="3.6640625" style="4" customWidth="1"/>
    <col min="31" max="32" width="3.5546875" style="4" customWidth="1"/>
    <col min="33" max="33" width="3.88671875" style="4" customWidth="1"/>
    <col min="34" max="34" width="3.5546875" style="4" customWidth="1"/>
    <col min="35" max="35" width="3.88671875" style="4" customWidth="1"/>
    <col min="36" max="36" width="3.6640625" style="4" customWidth="1"/>
    <col min="37" max="37" width="4.33203125" style="4" customWidth="1"/>
    <col min="38" max="39" width="3.5546875" style="4" customWidth="1"/>
    <col min="40" max="41" width="3.5546875" style="5" customWidth="1"/>
    <col min="42" max="42" width="3.6640625" style="5" customWidth="1"/>
    <col min="43" max="44" width="3.5546875" style="5" customWidth="1"/>
    <col min="45" max="45" width="3.88671875" style="4" customWidth="1"/>
    <col min="46" max="46" width="4.109375" style="4" bestFit="1" customWidth="1"/>
    <col min="47" max="47" width="5.6640625" style="4" bestFit="1" customWidth="1"/>
    <col min="48" max="48" width="7.88671875" style="5" bestFit="1" customWidth="1"/>
    <col min="49" max="49" width="6.88671875" style="5" bestFit="1" customWidth="1"/>
    <col min="50" max="50" width="8.109375" style="5" bestFit="1" customWidth="1"/>
    <col min="51" max="51" width="6.6640625" style="5" bestFit="1" customWidth="1"/>
    <col min="52" max="52" width="8" style="5" bestFit="1" customWidth="1"/>
    <col min="53" max="54" width="8" style="5" customWidth="1"/>
    <col min="55" max="55" width="6.6640625" style="5" bestFit="1" customWidth="1"/>
    <col min="56" max="56" width="7.6640625" style="5" bestFit="1" customWidth="1"/>
    <col min="57" max="57" width="7.5546875" style="5" bestFit="1" customWidth="1"/>
    <col min="58" max="58" width="6.88671875" style="5" bestFit="1" customWidth="1"/>
    <col min="59" max="59" width="6.88671875" style="5" customWidth="1"/>
    <col min="60" max="60" width="8.109375" style="5" bestFit="1" customWidth="1"/>
    <col min="61" max="61" width="7.5546875" style="5" bestFit="1" customWidth="1"/>
    <col min="62" max="62" width="6.88671875" style="5" bestFit="1" customWidth="1"/>
    <col min="63" max="63" width="7.6640625" style="5" bestFit="1" customWidth="1"/>
    <col min="64" max="64" width="10.33203125" style="5" bestFit="1" customWidth="1"/>
    <col min="65" max="65" width="6.44140625" style="5" customWidth="1"/>
    <col min="66" max="66" width="10.44140625" style="4" customWidth="1"/>
    <col min="67" max="68" width="8.88671875" style="21" customWidth="1"/>
    <col min="69" max="69" width="19.5546875" style="21" bestFit="1" customWidth="1"/>
    <col min="70" max="133" width="8.88671875" style="21" customWidth="1"/>
    <col min="134" max="16384" width="8.88671875" style="6"/>
  </cols>
  <sheetData>
    <row r="1" spans="1:133" ht="12.75" customHeight="1" thickBot="1" x14ac:dyDescent="0.25">
      <c r="A1" s="7" t="s">
        <v>30</v>
      </c>
      <c r="B1" s="129"/>
      <c r="C1" s="8"/>
      <c r="D1" s="8"/>
      <c r="E1" s="9"/>
      <c r="F1" s="8"/>
      <c r="G1" s="8"/>
      <c r="H1" s="10"/>
      <c r="I1" s="77"/>
      <c r="J1" s="81"/>
      <c r="K1" s="11" t="s">
        <v>16</v>
      </c>
      <c r="L1" s="11"/>
      <c r="M1" s="11"/>
      <c r="N1" s="12"/>
      <c r="O1" s="230"/>
      <c r="P1" s="219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 t="s">
        <v>694</v>
      </c>
      <c r="AV1" s="329" t="s">
        <v>694</v>
      </c>
      <c r="AW1" s="330"/>
      <c r="AX1" s="330"/>
      <c r="AY1" s="330"/>
      <c r="AZ1" s="330"/>
      <c r="BA1" s="330"/>
      <c r="BB1" s="330"/>
      <c r="BC1" s="330"/>
      <c r="BD1" s="330"/>
      <c r="BE1" s="330"/>
      <c r="BF1" s="330"/>
      <c r="BG1" s="330"/>
      <c r="BH1" s="330"/>
      <c r="BI1" s="330"/>
      <c r="BJ1" s="330"/>
      <c r="BK1" s="330"/>
      <c r="BL1" s="331"/>
      <c r="BM1" s="184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</row>
    <row r="2" spans="1:133" ht="30.6" x14ac:dyDescent="0.2">
      <c r="A2" s="13" t="s">
        <v>82</v>
      </c>
      <c r="B2" s="130" t="s">
        <v>83</v>
      </c>
      <c r="C2" s="14" t="s">
        <v>611</v>
      </c>
      <c r="D2" s="14" t="s">
        <v>84</v>
      </c>
      <c r="E2" s="82" t="s">
        <v>32</v>
      </c>
      <c r="F2" s="16" t="s">
        <v>33</v>
      </c>
      <c r="G2" s="16" t="s">
        <v>33</v>
      </c>
      <c r="H2" s="17" t="s">
        <v>74</v>
      </c>
      <c r="I2" s="78" t="s">
        <v>55</v>
      </c>
      <c r="J2" s="164" t="s">
        <v>56</v>
      </c>
      <c r="K2" s="165" t="s">
        <v>37</v>
      </c>
      <c r="L2" s="166" t="s">
        <v>136</v>
      </c>
      <c r="M2" s="167" t="s">
        <v>137</v>
      </c>
      <c r="N2" s="168" t="s">
        <v>86</v>
      </c>
      <c r="O2" s="20" t="s">
        <v>79</v>
      </c>
      <c r="P2" s="16" t="s">
        <v>152</v>
      </c>
      <c r="Q2" s="312" t="s">
        <v>69</v>
      </c>
      <c r="R2" s="326" t="s">
        <v>145</v>
      </c>
      <c r="S2" s="321" t="s">
        <v>13</v>
      </c>
      <c r="T2" s="321" t="s">
        <v>14</v>
      </c>
      <c r="U2" s="321" t="s">
        <v>102</v>
      </c>
      <c r="V2" s="322" t="s">
        <v>129</v>
      </c>
      <c r="W2" s="321" t="s">
        <v>12</v>
      </c>
      <c r="X2" s="321" t="s">
        <v>33</v>
      </c>
      <c r="Y2" s="321" t="s">
        <v>76</v>
      </c>
      <c r="Z2" s="16" t="s">
        <v>146</v>
      </c>
      <c r="AA2" s="16" t="s">
        <v>63</v>
      </c>
      <c r="AB2" s="321" t="s">
        <v>78</v>
      </c>
      <c r="AC2" s="73" t="s">
        <v>133</v>
      </c>
      <c r="AD2" s="322" t="s">
        <v>133</v>
      </c>
      <c r="AE2" s="321" t="s">
        <v>128</v>
      </c>
      <c r="AF2" s="321" t="s">
        <v>156</v>
      </c>
      <c r="AG2" s="192" t="s">
        <v>158</v>
      </c>
      <c r="AH2" s="321" t="s">
        <v>70</v>
      </c>
      <c r="AI2" s="321" t="s">
        <v>77</v>
      </c>
      <c r="AJ2" s="326" t="s">
        <v>157</v>
      </c>
      <c r="AK2" s="322" t="s">
        <v>149</v>
      </c>
      <c r="AL2" s="322" t="s">
        <v>80</v>
      </c>
      <c r="AM2" s="321" t="s">
        <v>100</v>
      </c>
      <c r="AN2" s="312" t="s">
        <v>29</v>
      </c>
      <c r="AO2" s="321" t="s">
        <v>62</v>
      </c>
      <c r="AP2" s="321" t="s">
        <v>35</v>
      </c>
      <c r="AQ2" s="321" t="s">
        <v>75</v>
      </c>
      <c r="AR2" s="321" t="s">
        <v>127</v>
      </c>
      <c r="AS2" s="312" t="s">
        <v>147</v>
      </c>
      <c r="AT2" s="322" t="s">
        <v>101</v>
      </c>
      <c r="AU2" s="322" t="s">
        <v>148</v>
      </c>
      <c r="AV2" s="320" t="s">
        <v>679</v>
      </c>
      <c r="AW2" s="320" t="s">
        <v>680</v>
      </c>
      <c r="AX2" s="320" t="s">
        <v>681</v>
      </c>
      <c r="AY2" s="320" t="s">
        <v>722</v>
      </c>
      <c r="AZ2" s="320" t="s">
        <v>682</v>
      </c>
      <c r="BA2" s="320" t="s">
        <v>707</v>
      </c>
      <c r="BB2" s="320" t="s">
        <v>709</v>
      </c>
      <c r="BC2" s="320" t="s">
        <v>683</v>
      </c>
      <c r="BD2" s="320" t="s">
        <v>684</v>
      </c>
      <c r="BE2" s="320" t="s">
        <v>685</v>
      </c>
      <c r="BF2" s="320" t="s">
        <v>686</v>
      </c>
      <c r="BG2" s="320" t="s">
        <v>708</v>
      </c>
      <c r="BH2" s="320" t="s">
        <v>687</v>
      </c>
      <c r="BI2" s="320" t="s">
        <v>688</v>
      </c>
      <c r="BJ2" s="320" t="s">
        <v>689</v>
      </c>
      <c r="BK2" s="328" t="s">
        <v>690</v>
      </c>
      <c r="BL2" s="327" t="s">
        <v>691</v>
      </c>
      <c r="BM2" s="187" t="s">
        <v>81</v>
      </c>
      <c r="BN2" s="185" t="s">
        <v>34</v>
      </c>
      <c r="BO2" s="6"/>
      <c r="BT2" s="194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</row>
    <row r="3" spans="1:133" x14ac:dyDescent="0.2">
      <c r="A3" s="22"/>
      <c r="B3" s="131"/>
      <c r="C3" s="23"/>
      <c r="D3" s="23"/>
      <c r="E3" s="15"/>
      <c r="F3" s="16"/>
      <c r="G3" s="16"/>
      <c r="H3" s="17"/>
      <c r="I3" s="78"/>
      <c r="J3" s="82"/>
      <c r="K3" s="80"/>
      <c r="L3" s="18"/>
      <c r="M3" s="163"/>
      <c r="N3" s="19"/>
      <c r="O3" s="20"/>
      <c r="P3" s="20"/>
      <c r="Q3" s="20"/>
      <c r="R3" s="20"/>
      <c r="S3" s="20"/>
      <c r="T3" s="16"/>
      <c r="U3" s="16"/>
      <c r="V3" s="192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312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61"/>
      <c r="BL3" s="127"/>
      <c r="BM3" s="188"/>
      <c r="BN3" s="185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</row>
    <row r="4" spans="1:133" x14ac:dyDescent="0.2">
      <c r="A4" s="296" t="s">
        <v>275</v>
      </c>
      <c r="B4" s="297" t="s">
        <v>273</v>
      </c>
      <c r="C4" s="298" t="s">
        <v>27</v>
      </c>
      <c r="D4" s="298" t="s">
        <v>710</v>
      </c>
      <c r="E4" s="316">
        <v>57</v>
      </c>
      <c r="F4" s="211"/>
      <c r="G4" s="269">
        <v>5</v>
      </c>
      <c r="H4" s="270"/>
      <c r="I4" s="271"/>
      <c r="J4" s="272"/>
      <c r="K4" s="273"/>
      <c r="L4" s="274"/>
      <c r="M4" s="275"/>
      <c r="N4" s="275"/>
      <c r="O4" s="276"/>
      <c r="P4" s="276"/>
      <c r="Q4" s="281"/>
      <c r="R4" s="281"/>
      <c r="S4" s="276"/>
      <c r="T4" s="211"/>
      <c r="U4" s="211"/>
      <c r="V4" s="211"/>
      <c r="W4" s="285"/>
      <c r="X4" s="282" t="s">
        <v>696</v>
      </c>
      <c r="Y4" s="291" t="s">
        <v>699</v>
      </c>
      <c r="Z4" s="211"/>
      <c r="AA4" s="211"/>
      <c r="AB4" s="211"/>
      <c r="AC4" s="211"/>
      <c r="AD4" s="211"/>
      <c r="AE4" s="282">
        <v>1</v>
      </c>
      <c r="AF4" s="282">
        <v>1</v>
      </c>
      <c r="AG4" s="285"/>
      <c r="AH4" s="282">
        <v>1</v>
      </c>
      <c r="AI4" s="211"/>
      <c r="AJ4" s="285"/>
      <c r="AK4" s="211"/>
      <c r="AL4" s="282">
        <v>1</v>
      </c>
      <c r="AM4" s="211"/>
      <c r="AN4" s="282" t="s">
        <v>696</v>
      </c>
      <c r="AO4" s="211"/>
      <c r="AP4" s="211"/>
      <c r="AQ4" s="282">
        <v>1</v>
      </c>
      <c r="AR4" s="285" t="s">
        <v>695</v>
      </c>
      <c r="AS4" s="283" t="s">
        <v>696</v>
      </c>
      <c r="AT4" s="285" t="s">
        <v>695</v>
      </c>
      <c r="AU4" s="282" t="s">
        <v>696</v>
      </c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307"/>
      <c r="BL4" s="279"/>
      <c r="BM4" s="277"/>
      <c r="BN4" s="277"/>
      <c r="BO4" s="6"/>
      <c r="BP4" s="324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</row>
    <row r="5" spans="1:133" ht="12" customHeight="1" x14ac:dyDescent="0.3">
      <c r="A5" s="294" t="s">
        <v>159</v>
      </c>
      <c r="B5" s="294" t="s">
        <v>160</v>
      </c>
      <c r="C5" s="294" t="s">
        <v>27</v>
      </c>
      <c r="D5" s="294" t="s">
        <v>161</v>
      </c>
      <c r="E5" s="231">
        <v>240</v>
      </c>
      <c r="F5" s="24">
        <f>E5/13</f>
        <v>18.46153846153846</v>
      </c>
      <c r="G5" s="249">
        <f>ROUNDUP(F5,0)</f>
        <v>19</v>
      </c>
      <c r="H5" s="101">
        <f t="shared" ref="H5:H44" si="0">IF(G5=0,0,E5/G5)</f>
        <v>12.631578947368421</v>
      </c>
      <c r="I5" s="79"/>
      <c r="J5" s="226">
        <f>I5*2*normuren!$B$26</f>
        <v>0</v>
      </c>
      <c r="K5" s="227">
        <f>IF(G5&lt;3,normuren!$B$8,IF(AND(G5&lt;6,G5&gt;2),normuren!$B$9,IF(AND(G5&lt;9,G5&gt;5),normuren!$B$10,normuren!$B$11)))</f>
        <v>60</v>
      </c>
      <c r="L5" s="228">
        <f>normuren!$B$24*2*12</f>
        <v>36</v>
      </c>
      <c r="M5" s="228">
        <f>normuren!$B$25*2*12</f>
        <v>45.599999999999994</v>
      </c>
      <c r="N5" s="250">
        <f>normuren!$B$29</f>
        <v>1.5</v>
      </c>
      <c r="O5" s="115" t="s">
        <v>696</v>
      </c>
      <c r="P5" s="115"/>
      <c r="Q5" s="266"/>
      <c r="R5" s="266"/>
      <c r="S5" s="119"/>
      <c r="T5" s="119"/>
      <c r="U5" s="115"/>
      <c r="V5" s="286" t="s">
        <v>695</v>
      </c>
      <c r="W5" s="286"/>
      <c r="X5" s="115"/>
      <c r="Y5" s="115"/>
      <c r="Z5" s="115"/>
      <c r="AA5" s="115"/>
      <c r="AB5" s="115"/>
      <c r="AC5" s="115"/>
      <c r="AD5" s="115"/>
      <c r="AE5" s="115"/>
      <c r="AF5" s="115"/>
      <c r="AG5" s="286"/>
      <c r="AH5" s="115"/>
      <c r="AI5" s="115"/>
      <c r="AJ5" s="286"/>
      <c r="AK5" s="288">
        <v>2</v>
      </c>
      <c r="AL5" s="115"/>
      <c r="AM5" s="115"/>
      <c r="AN5" s="286"/>
      <c r="AO5" s="115"/>
      <c r="AP5" s="288">
        <v>2</v>
      </c>
      <c r="AQ5" s="115"/>
      <c r="AR5" s="115"/>
      <c r="AT5" s="115"/>
      <c r="AU5" s="115"/>
      <c r="AV5" s="115"/>
      <c r="AW5" s="115">
        <v>3</v>
      </c>
      <c r="AX5" s="115"/>
      <c r="AY5" s="115">
        <v>3</v>
      </c>
      <c r="AZ5" s="115"/>
      <c r="BA5" s="288">
        <v>3</v>
      </c>
      <c r="BB5" s="115"/>
      <c r="BC5" s="115"/>
      <c r="BD5" s="115"/>
      <c r="BE5" s="288" t="s">
        <v>696</v>
      </c>
      <c r="BF5" s="115"/>
      <c r="BG5" s="286" t="s">
        <v>695</v>
      </c>
      <c r="BH5" s="115"/>
      <c r="BI5" s="288">
        <v>3</v>
      </c>
      <c r="BJ5" s="288">
        <v>3</v>
      </c>
      <c r="BK5" s="286"/>
      <c r="BL5" s="115"/>
      <c r="BM5" s="223">
        <f t="shared" ref="BM5:BM44" si="1">SUM(O5:BL5)</f>
        <v>19</v>
      </c>
      <c r="BN5" s="224">
        <f t="shared" ref="BN5:BN44" si="2">G5-BM5</f>
        <v>0</v>
      </c>
      <c r="BO5" s="209" t="str">
        <f t="shared" ref="BO5:BO44" si="3">IF(BN5&gt;0,"Problem","Oke")</f>
        <v>Oke</v>
      </c>
      <c r="BP5" s="209" t="s">
        <v>714</v>
      </c>
      <c r="BQ5" s="6"/>
      <c r="BR5" s="324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</row>
    <row r="6" spans="1:133" ht="13.8" x14ac:dyDescent="0.3">
      <c r="A6" s="294" t="s">
        <v>162</v>
      </c>
      <c r="B6" s="294" t="s">
        <v>163</v>
      </c>
      <c r="C6" s="294" t="s">
        <v>27</v>
      </c>
      <c r="D6" s="299" t="s">
        <v>164</v>
      </c>
      <c r="E6" s="231">
        <v>157</v>
      </c>
      <c r="F6" s="24">
        <f>$E6/13</f>
        <v>12.076923076923077</v>
      </c>
      <c r="G6" s="249">
        <f>ROUNDUP(F6,0)</f>
        <v>13</v>
      </c>
      <c r="H6" s="101">
        <f t="shared" si="0"/>
        <v>12.076923076923077</v>
      </c>
      <c r="I6" s="79"/>
      <c r="J6" s="226">
        <f>I6*2*normuren!$B$26</f>
        <v>0</v>
      </c>
      <c r="K6" s="227">
        <f>IF(G6&lt;3,normuren!$B$8,IF(AND(G6&lt;6,G6&gt;2),normuren!$B$9,IF(AND(G6&lt;9,G6&gt;5),normuren!$B$10,normuren!$B$11)))</f>
        <v>60</v>
      </c>
      <c r="L6" s="228">
        <f>normuren!$B$27</f>
        <v>20</v>
      </c>
      <c r="M6" s="228">
        <v>20</v>
      </c>
      <c r="N6" s="250">
        <f>normuren!$B$29</f>
        <v>1.5</v>
      </c>
      <c r="O6" s="115" t="s">
        <v>696</v>
      </c>
      <c r="P6" s="115"/>
      <c r="Q6" s="266"/>
      <c r="R6" s="266"/>
      <c r="S6" s="119"/>
      <c r="T6" s="119"/>
      <c r="U6" s="115"/>
      <c r="V6" s="115"/>
      <c r="W6" s="286"/>
      <c r="X6" s="288" t="s">
        <v>696</v>
      </c>
      <c r="Y6" s="115"/>
      <c r="Z6" s="115"/>
      <c r="AA6" s="115"/>
      <c r="AB6" s="288">
        <v>3</v>
      </c>
      <c r="AC6" s="115"/>
      <c r="AD6" s="115"/>
      <c r="AE6" s="115"/>
      <c r="AF6" s="115"/>
      <c r="AG6" s="286"/>
      <c r="AH6" s="115"/>
      <c r="AI6" s="115"/>
      <c r="AJ6" s="286"/>
      <c r="AK6" s="288" t="s">
        <v>696</v>
      </c>
      <c r="AL6" s="115"/>
      <c r="AM6" s="115"/>
      <c r="AN6" s="286"/>
      <c r="AO6" s="115"/>
      <c r="AP6" s="115"/>
      <c r="AQ6" s="115"/>
      <c r="AR6" s="115"/>
      <c r="AS6" s="286"/>
      <c r="AT6" s="115"/>
      <c r="AU6" s="115"/>
      <c r="AV6" s="288">
        <v>3</v>
      </c>
      <c r="AW6" s="115"/>
      <c r="AX6" s="288">
        <v>2</v>
      </c>
      <c r="AY6" s="115"/>
      <c r="AZ6" s="115">
        <v>2</v>
      </c>
      <c r="BA6" s="115"/>
      <c r="BB6" s="115" t="s">
        <v>696</v>
      </c>
      <c r="BC6" s="288">
        <v>3</v>
      </c>
      <c r="BD6" s="115"/>
      <c r="BE6" s="286" t="s">
        <v>695</v>
      </c>
      <c r="BF6" s="115"/>
      <c r="BG6" s="115" t="s">
        <v>696</v>
      </c>
      <c r="BH6" s="115" t="s">
        <v>696</v>
      </c>
      <c r="BI6" s="115"/>
      <c r="BJ6" s="115"/>
      <c r="BK6" s="286"/>
      <c r="BL6" s="115"/>
      <c r="BM6" s="223">
        <f t="shared" si="1"/>
        <v>13</v>
      </c>
      <c r="BN6" s="224">
        <f t="shared" si="2"/>
        <v>0</v>
      </c>
      <c r="BO6" s="209" t="str">
        <f t="shared" si="3"/>
        <v>Oke</v>
      </c>
      <c r="BP6" s="209" t="s">
        <v>725</v>
      </c>
      <c r="BQ6" s="6"/>
      <c r="BR6" s="324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</row>
    <row r="7" spans="1:133" ht="13.5" customHeight="1" x14ac:dyDescent="0.3">
      <c r="A7" s="294" t="s">
        <v>656</v>
      </c>
      <c r="B7" s="294" t="s">
        <v>168</v>
      </c>
      <c r="C7" s="294" t="s">
        <v>27</v>
      </c>
      <c r="D7" s="294" t="s">
        <v>705</v>
      </c>
      <c r="E7" s="231">
        <v>39</v>
      </c>
      <c r="F7" s="24">
        <f>E7/12</f>
        <v>3.25</v>
      </c>
      <c r="G7" s="314">
        <v>3</v>
      </c>
      <c r="H7" s="101">
        <f t="shared" si="0"/>
        <v>13</v>
      </c>
      <c r="I7" s="79"/>
      <c r="J7" s="226">
        <f>I7*2*normuren!$B$26</f>
        <v>0</v>
      </c>
      <c r="K7" s="227">
        <f>IF(G7&lt;3,normuren!$B$8,IF(AND(G7&lt;6,G7&gt;2),normuren!$B$9,IF(AND(G7&lt;9,G7&gt;5),normuren!$B$10,normuren!$B$11)))</f>
        <v>30</v>
      </c>
      <c r="L7" s="228">
        <f>normuren!$B$24*2*12</f>
        <v>36</v>
      </c>
      <c r="M7" s="228">
        <f>normuren!$B$25*2*12</f>
        <v>45.599999999999994</v>
      </c>
      <c r="N7" s="250">
        <f>normuren!$B$29</f>
        <v>1.5</v>
      </c>
      <c r="O7" s="115"/>
      <c r="P7" s="115"/>
      <c r="Q7" s="266"/>
      <c r="R7" s="266"/>
      <c r="S7" s="119"/>
      <c r="T7" s="119"/>
      <c r="U7" s="115"/>
      <c r="V7" s="115"/>
      <c r="W7" s="287"/>
      <c r="X7" s="173"/>
      <c r="Y7" s="115"/>
      <c r="Z7" s="115"/>
      <c r="AA7" s="115"/>
      <c r="AB7" s="115"/>
      <c r="AC7" s="115"/>
      <c r="AD7" s="115"/>
      <c r="AE7" s="115"/>
      <c r="AF7" s="115"/>
      <c r="AG7" s="286"/>
      <c r="AH7" s="115"/>
      <c r="AI7" s="115"/>
      <c r="AJ7" s="286"/>
      <c r="AK7" s="115"/>
      <c r="AL7" s="115"/>
      <c r="AM7" s="288">
        <v>1</v>
      </c>
      <c r="AN7" s="286"/>
      <c r="AO7" s="115"/>
      <c r="AP7" s="115"/>
      <c r="AQ7" s="115"/>
      <c r="AR7" s="115"/>
      <c r="AS7" s="286"/>
      <c r="AT7" s="115"/>
      <c r="AU7" s="115"/>
      <c r="AV7" s="173"/>
      <c r="AW7" s="173"/>
      <c r="AX7" s="173"/>
      <c r="AY7" s="173"/>
      <c r="AZ7" s="173"/>
      <c r="BA7" s="173"/>
      <c r="BB7" s="173"/>
      <c r="BC7" s="173"/>
      <c r="BD7" s="173"/>
      <c r="BE7" s="290">
        <v>2</v>
      </c>
      <c r="BF7" s="173"/>
      <c r="BG7" s="173"/>
      <c r="BH7" s="173"/>
      <c r="BI7" s="173"/>
      <c r="BJ7" s="115"/>
      <c r="BK7" s="287"/>
      <c r="BL7" s="115"/>
      <c r="BM7" s="223">
        <f t="shared" si="1"/>
        <v>3</v>
      </c>
      <c r="BN7" s="224">
        <f t="shared" si="2"/>
        <v>0</v>
      </c>
      <c r="BO7" s="209" t="str">
        <f t="shared" si="3"/>
        <v>Oke</v>
      </c>
      <c r="BP7" s="319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</row>
    <row r="8" spans="1:133" ht="14.4" x14ac:dyDescent="0.3">
      <c r="A8" s="295" t="s">
        <v>178</v>
      </c>
      <c r="B8" s="295" t="s">
        <v>179</v>
      </c>
      <c r="C8" s="295" t="s">
        <v>27</v>
      </c>
      <c r="D8" s="295" t="s">
        <v>180</v>
      </c>
      <c r="E8" s="231">
        <v>16</v>
      </c>
      <c r="F8" s="24">
        <f>E8/8</f>
        <v>2</v>
      </c>
      <c r="G8" s="249">
        <f>ROUNDUP(F8,0)</f>
        <v>2</v>
      </c>
      <c r="H8" s="101">
        <f t="shared" si="0"/>
        <v>8</v>
      </c>
      <c r="I8" s="79"/>
      <c r="J8" s="226">
        <f>I8*2*normuren!$B$26</f>
        <v>0</v>
      </c>
      <c r="K8" s="227">
        <f>IF(G8&lt;3,normuren!$B$8,IF(AND(G8&lt;6,G8&gt;2),normuren!$B$9,IF(AND(G8&lt;9,G8&gt;5),normuren!$B$10,normuren!$B$11)))</f>
        <v>15</v>
      </c>
      <c r="L8" s="228">
        <f>normuren!$B$24*2*12</f>
        <v>36</v>
      </c>
      <c r="M8" s="228">
        <f>normuren!$B$25*2*12</f>
        <v>45.599999999999994</v>
      </c>
      <c r="N8" s="250">
        <f>normuren!$B$29</f>
        <v>1.5</v>
      </c>
      <c r="O8" s="115"/>
      <c r="P8" s="115"/>
      <c r="Q8" s="266"/>
      <c r="R8" s="266"/>
      <c r="S8" s="119"/>
      <c r="T8" s="119"/>
      <c r="U8" s="173"/>
      <c r="V8" s="115"/>
      <c r="W8" s="286"/>
      <c r="X8" s="115"/>
      <c r="Y8" s="115"/>
      <c r="Z8" s="115"/>
      <c r="AA8" s="115"/>
      <c r="AB8" s="115"/>
      <c r="AC8" s="115"/>
      <c r="AD8" s="115"/>
      <c r="AE8" s="115"/>
      <c r="AF8" s="115"/>
      <c r="AG8" s="286"/>
      <c r="AH8" s="115"/>
      <c r="AI8" s="115"/>
      <c r="AJ8" s="286"/>
      <c r="AK8" s="115"/>
      <c r="AL8" s="115"/>
      <c r="AM8" s="115"/>
      <c r="AN8" s="286"/>
      <c r="AO8" s="115"/>
      <c r="AP8" s="115"/>
      <c r="AQ8" s="115"/>
      <c r="AR8" s="288">
        <v>2</v>
      </c>
      <c r="AS8" s="286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286"/>
      <c r="BL8" s="115"/>
      <c r="BM8" s="223">
        <f t="shared" si="1"/>
        <v>2</v>
      </c>
      <c r="BN8" s="224">
        <f t="shared" si="2"/>
        <v>0</v>
      </c>
      <c r="BO8" s="209" t="str">
        <f t="shared" si="3"/>
        <v>Oke</v>
      </c>
      <c r="BP8" s="325"/>
      <c r="BQ8" s="217"/>
      <c r="BR8" s="195"/>
      <c r="BS8" s="195"/>
      <c r="BT8" s="195"/>
      <c r="BU8" s="195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</row>
    <row r="9" spans="1:133" ht="14.4" customHeight="1" x14ac:dyDescent="0.3">
      <c r="A9" s="294" t="s">
        <v>188</v>
      </c>
      <c r="B9" s="294" t="s">
        <v>189</v>
      </c>
      <c r="C9" s="294" t="s">
        <v>27</v>
      </c>
      <c r="D9" s="294" t="s">
        <v>613</v>
      </c>
      <c r="E9" s="317">
        <v>37</v>
      </c>
      <c r="F9" s="24">
        <f>E9/13</f>
        <v>2.8461538461538463</v>
      </c>
      <c r="G9" s="249">
        <f>ROUNDUP(F9,0)</f>
        <v>3</v>
      </c>
      <c r="H9" s="101">
        <f t="shared" si="0"/>
        <v>12.333333333333334</v>
      </c>
      <c r="I9" s="79"/>
      <c r="J9" s="226">
        <f>I9*2*normuren!$B$26</f>
        <v>0</v>
      </c>
      <c r="K9" s="227">
        <f>IF(G9&lt;3,normuren!$B$8,IF(AND(G9&lt;6,G9&gt;2),normuren!$B$9,IF(AND(G9&lt;9,G9&gt;5),normuren!$B$10,normuren!$B$11)))</f>
        <v>30</v>
      </c>
      <c r="L9" s="228">
        <f>normuren!$B$24*2*12</f>
        <v>36</v>
      </c>
      <c r="M9" s="228">
        <f>normuren!$B$25*2*12</f>
        <v>45.599999999999994</v>
      </c>
      <c r="N9" s="250">
        <f>normuren!$B$29</f>
        <v>1.5</v>
      </c>
      <c r="O9" s="173"/>
      <c r="P9" s="173"/>
      <c r="Q9" s="266"/>
      <c r="R9" s="266"/>
      <c r="S9" s="119"/>
      <c r="T9" s="119"/>
      <c r="U9" s="115"/>
      <c r="V9" s="115"/>
      <c r="W9" s="286"/>
      <c r="X9" s="115"/>
      <c r="Y9" s="115"/>
      <c r="Z9" s="115"/>
      <c r="AA9" s="115"/>
      <c r="AB9" s="115"/>
      <c r="AC9" s="115"/>
      <c r="AD9" s="115"/>
      <c r="AE9" s="115"/>
      <c r="AF9" s="115"/>
      <c r="AG9" s="286"/>
      <c r="AH9" s="115"/>
      <c r="AI9" s="115"/>
      <c r="AJ9" s="286"/>
      <c r="AK9" s="115"/>
      <c r="AL9" s="115"/>
      <c r="AM9" s="115"/>
      <c r="AN9" s="286"/>
      <c r="AO9" s="288">
        <v>1</v>
      </c>
      <c r="AP9" s="115"/>
      <c r="AQ9" s="115"/>
      <c r="AR9" s="115"/>
      <c r="AS9" s="286"/>
      <c r="AT9" s="115"/>
      <c r="AU9" s="173"/>
      <c r="AV9" s="115"/>
      <c r="AW9" s="115"/>
      <c r="AX9" s="288">
        <v>2</v>
      </c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286"/>
      <c r="BL9" s="115"/>
      <c r="BM9" s="223">
        <f t="shared" si="1"/>
        <v>3</v>
      </c>
      <c r="BN9" s="224">
        <f t="shared" si="2"/>
        <v>0</v>
      </c>
      <c r="BO9" s="209" t="str">
        <f t="shared" si="3"/>
        <v>Oke</v>
      </c>
      <c r="BP9" s="323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</row>
    <row r="10" spans="1:133" ht="13.5" customHeight="1" x14ac:dyDescent="0.3">
      <c r="A10" s="294" t="s">
        <v>256</v>
      </c>
      <c r="B10" s="294" t="s">
        <v>197</v>
      </c>
      <c r="C10" s="294" t="s">
        <v>27</v>
      </c>
      <c r="D10" s="294" t="s">
        <v>198</v>
      </c>
      <c r="E10" s="317">
        <v>37</v>
      </c>
      <c r="F10" s="24">
        <f>E10/13</f>
        <v>2.8461538461538463</v>
      </c>
      <c r="G10" s="314">
        <f>ROUNDUP(F10,0)</f>
        <v>3</v>
      </c>
      <c r="H10" s="101">
        <f t="shared" si="0"/>
        <v>12.333333333333334</v>
      </c>
      <c r="I10" s="79"/>
      <c r="J10" s="226">
        <f>I10*2*normuren!$B$26</f>
        <v>0</v>
      </c>
      <c r="K10" s="227">
        <f>IF(G10&lt;3,normuren!$B$8,IF(AND(G10&lt;6,G10&gt;2),normuren!$B$9,IF(AND(G10&lt;9,G10&gt;5),normuren!$B$10,normuren!$B$11)))</f>
        <v>30</v>
      </c>
      <c r="L10" s="228">
        <f>normuren!$B$27</f>
        <v>20</v>
      </c>
      <c r="M10" s="228">
        <v>20</v>
      </c>
      <c r="N10" s="250">
        <f>normuren!$B$29</f>
        <v>1.5</v>
      </c>
      <c r="O10" s="115"/>
      <c r="P10" s="115"/>
      <c r="Q10" s="266"/>
      <c r="R10" s="266"/>
      <c r="S10" s="119"/>
      <c r="T10" s="119"/>
      <c r="U10" s="115"/>
      <c r="V10" s="115"/>
      <c r="W10" s="286"/>
      <c r="X10" s="115"/>
      <c r="Y10" s="115"/>
      <c r="Z10" s="115"/>
      <c r="AA10" s="115"/>
      <c r="AB10" s="115"/>
      <c r="AC10" s="115"/>
      <c r="AD10" s="115"/>
      <c r="AE10" s="115"/>
      <c r="AF10" s="115"/>
      <c r="AG10" s="286"/>
      <c r="AH10" s="115"/>
      <c r="AI10" s="115"/>
      <c r="AJ10" s="286"/>
      <c r="AK10" s="115"/>
      <c r="AL10" s="115"/>
      <c r="AM10" s="115"/>
      <c r="AN10" s="286"/>
      <c r="AO10" s="288" t="s">
        <v>696</v>
      </c>
      <c r="AP10" s="115"/>
      <c r="AQ10" s="115"/>
      <c r="AR10" s="115"/>
      <c r="AS10" s="286"/>
      <c r="AT10" s="115"/>
      <c r="AU10" s="288">
        <v>3</v>
      </c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286"/>
      <c r="BL10" s="115"/>
      <c r="BM10" s="223">
        <f t="shared" si="1"/>
        <v>3</v>
      </c>
      <c r="BN10" s="224">
        <f t="shared" si="2"/>
        <v>0</v>
      </c>
      <c r="BO10" s="209" t="str">
        <f t="shared" si="3"/>
        <v>Oke</v>
      </c>
      <c r="BP10" s="323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</row>
    <row r="11" spans="1:133" ht="14.4" customHeight="1" x14ac:dyDescent="0.3">
      <c r="A11" s="294" t="s">
        <v>203</v>
      </c>
      <c r="B11" s="294" t="s">
        <v>204</v>
      </c>
      <c r="C11" s="294" t="s">
        <v>27</v>
      </c>
      <c r="D11" s="294" t="s">
        <v>701</v>
      </c>
      <c r="E11" s="231">
        <v>50</v>
      </c>
      <c r="F11" s="24">
        <f>E11/12</f>
        <v>4.166666666666667</v>
      </c>
      <c r="G11" s="314">
        <v>4</v>
      </c>
      <c r="H11" s="101">
        <f t="shared" si="0"/>
        <v>12.5</v>
      </c>
      <c r="I11" s="79"/>
      <c r="J11" s="226">
        <f>I11*2*normuren!$B$26</f>
        <v>0</v>
      </c>
      <c r="K11" s="227">
        <f>IF(G11&lt;3,normuren!$B$8,IF(AND(G11&lt;6,G11&gt;2),normuren!$B$9,IF(AND(G11&lt;9,G11&gt;5),normuren!$B$10,normuren!$B$11)))</f>
        <v>30</v>
      </c>
      <c r="L11" s="228">
        <f>normuren!$B$27</f>
        <v>20</v>
      </c>
      <c r="M11" s="228">
        <v>20</v>
      </c>
      <c r="N11" s="250">
        <f>normuren!$B$29</f>
        <v>1.5</v>
      </c>
      <c r="O11" s="115" t="s">
        <v>696</v>
      </c>
      <c r="P11" s="115"/>
      <c r="Q11" s="266"/>
      <c r="R11" s="266"/>
      <c r="S11" s="119"/>
      <c r="T11" s="119"/>
      <c r="U11" s="115"/>
      <c r="V11" s="115"/>
      <c r="W11" s="286"/>
      <c r="X11" s="115"/>
      <c r="Y11" s="115"/>
      <c r="Z11" s="115"/>
      <c r="AA11" s="115"/>
      <c r="AB11" s="115"/>
      <c r="AC11" s="115"/>
      <c r="AD11" s="115"/>
      <c r="AE11" s="115"/>
      <c r="AF11" s="288">
        <v>1</v>
      </c>
      <c r="AG11" s="286"/>
      <c r="AH11" s="288">
        <v>1</v>
      </c>
      <c r="AI11" s="115"/>
      <c r="AJ11" s="286"/>
      <c r="AK11" s="115"/>
      <c r="AL11" s="115"/>
      <c r="AM11" s="115"/>
      <c r="AN11" s="286"/>
      <c r="AO11" s="115"/>
      <c r="AP11" s="115"/>
      <c r="AQ11" s="115"/>
      <c r="AR11" s="115"/>
      <c r="AS11" s="286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288">
        <v>2</v>
      </c>
      <c r="BJ11" s="115"/>
      <c r="BK11" s="286"/>
      <c r="BL11" s="284" t="s">
        <v>696</v>
      </c>
      <c r="BM11" s="223">
        <f t="shared" si="1"/>
        <v>4</v>
      </c>
      <c r="BN11" s="224">
        <f t="shared" si="2"/>
        <v>0</v>
      </c>
      <c r="BO11" s="209" t="str">
        <f t="shared" si="3"/>
        <v>Oke</v>
      </c>
      <c r="BP11" s="323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</row>
    <row r="12" spans="1:133" ht="13.8" x14ac:dyDescent="0.3">
      <c r="A12" s="294" t="s">
        <v>206</v>
      </c>
      <c r="B12" s="294" t="s">
        <v>207</v>
      </c>
      <c r="C12" s="294" t="s">
        <v>27</v>
      </c>
      <c r="D12" s="294" t="s">
        <v>208</v>
      </c>
      <c r="E12" s="317">
        <v>253</v>
      </c>
      <c r="F12" s="24">
        <f>E12/12</f>
        <v>21.083333333333332</v>
      </c>
      <c r="G12" s="314">
        <v>23</v>
      </c>
      <c r="H12" s="101">
        <f t="shared" si="0"/>
        <v>11</v>
      </c>
      <c r="I12" s="79"/>
      <c r="J12" s="226">
        <f>I12*2*normuren!$B$26</f>
        <v>0</v>
      </c>
      <c r="K12" s="227">
        <f>IF(G12&lt;3,normuren!$B$8,IF(AND(G12&lt;6,G12&gt;2),normuren!$B$9,IF(AND(G12&lt;9,G12&gt;5),normuren!$B$10,normuren!$B$11)))</f>
        <v>60</v>
      </c>
      <c r="L12" s="228">
        <f>normuren!$B$24*2*12</f>
        <v>36</v>
      </c>
      <c r="M12" s="228">
        <f>normuren!$B$25*2*12</f>
        <v>45.599999999999994</v>
      </c>
      <c r="N12" s="250">
        <f>normuren!$B$29</f>
        <v>1.5</v>
      </c>
      <c r="O12" s="115" t="s">
        <v>696</v>
      </c>
      <c r="P12" s="115"/>
      <c r="Q12" s="266"/>
      <c r="R12" s="266"/>
      <c r="S12" s="119"/>
      <c r="T12" s="119"/>
      <c r="U12" s="115"/>
      <c r="V12" s="288">
        <v>2</v>
      </c>
      <c r="W12" s="286"/>
      <c r="X12" s="115"/>
      <c r="Y12" s="115"/>
      <c r="Z12" s="115"/>
      <c r="AA12" s="115"/>
      <c r="AB12" s="115"/>
      <c r="AC12" s="115"/>
      <c r="AD12" s="288">
        <v>2</v>
      </c>
      <c r="AE12" s="115"/>
      <c r="AF12" s="115"/>
      <c r="AG12" s="286"/>
      <c r="AH12" s="115"/>
      <c r="AI12" s="115"/>
      <c r="AJ12" s="286"/>
      <c r="AK12" s="115"/>
      <c r="AL12" s="115"/>
      <c r="AM12" s="115"/>
      <c r="AN12" s="286"/>
      <c r="AO12" s="115"/>
      <c r="AP12" s="115"/>
      <c r="AQ12" s="115"/>
      <c r="AR12" s="115"/>
      <c r="AS12" s="286"/>
      <c r="AT12" s="288">
        <v>2</v>
      </c>
      <c r="AU12" s="115"/>
      <c r="AV12" s="288">
        <v>2</v>
      </c>
      <c r="AW12" s="115"/>
      <c r="AX12" s="288" t="s">
        <v>696</v>
      </c>
      <c r="AY12" s="115">
        <v>2</v>
      </c>
      <c r="AZ12" s="115"/>
      <c r="BA12" s="115"/>
      <c r="BB12" s="115">
        <v>2</v>
      </c>
      <c r="BC12" s="115"/>
      <c r="BD12" s="288">
        <v>3</v>
      </c>
      <c r="BE12" s="288">
        <v>3</v>
      </c>
      <c r="BF12" s="115"/>
      <c r="BG12" s="115">
        <v>3</v>
      </c>
      <c r="BH12" s="115"/>
      <c r="BI12" s="115"/>
      <c r="BJ12" s="288">
        <v>2</v>
      </c>
      <c r="BK12" s="286"/>
      <c r="BL12" s="288" t="s">
        <v>696</v>
      </c>
      <c r="BM12" s="223">
        <f t="shared" si="1"/>
        <v>23</v>
      </c>
      <c r="BN12" s="224">
        <f t="shared" si="2"/>
        <v>0</v>
      </c>
      <c r="BO12" s="209" t="str">
        <f t="shared" si="3"/>
        <v>Oke</v>
      </c>
      <c r="BP12" s="319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</row>
    <row r="13" spans="1:133" ht="14.4" customHeight="1" x14ac:dyDescent="0.3">
      <c r="A13" s="294" t="s">
        <v>259</v>
      </c>
      <c r="B13" s="294" t="s">
        <v>209</v>
      </c>
      <c r="C13" s="294" t="s">
        <v>27</v>
      </c>
      <c r="D13" s="294" t="s">
        <v>180</v>
      </c>
      <c r="E13" s="317">
        <v>110</v>
      </c>
      <c r="F13" s="24">
        <f>E13/8</f>
        <v>13.75</v>
      </c>
      <c r="G13" s="249">
        <f>ROUNDUP(F13,0)</f>
        <v>14</v>
      </c>
      <c r="H13" s="101">
        <f t="shared" si="0"/>
        <v>7.8571428571428568</v>
      </c>
      <c r="I13" s="79"/>
      <c r="J13" s="226">
        <f>I13*2*normuren!$B$26</f>
        <v>0</v>
      </c>
      <c r="K13" s="227">
        <f>IF(G13&lt;3,normuren!$B$8,IF(AND(G13&lt;6,G13&gt;2),normuren!$B$9,IF(AND(G13&lt;9,G13&gt;5),normuren!$B$10,normuren!$B$11)))</f>
        <v>60</v>
      </c>
      <c r="L13" s="228">
        <f>normuren!$B$24*2*12</f>
        <v>36</v>
      </c>
      <c r="M13" s="228">
        <f>normuren!$B$25*2*12</f>
        <v>45.599999999999994</v>
      </c>
      <c r="N13" s="250">
        <f>normuren!$B$29</f>
        <v>1.5</v>
      </c>
      <c r="O13" s="115"/>
      <c r="P13" s="115"/>
      <c r="Q13" s="266"/>
      <c r="R13" s="266"/>
      <c r="S13" s="119"/>
      <c r="T13" s="119"/>
      <c r="U13" s="115"/>
      <c r="V13" s="115"/>
      <c r="W13" s="286"/>
      <c r="X13" s="288">
        <v>1</v>
      </c>
      <c r="Y13" s="115"/>
      <c r="Z13" s="115"/>
      <c r="AA13" s="115"/>
      <c r="AB13" s="115"/>
      <c r="AC13" s="115"/>
      <c r="AD13" s="115"/>
      <c r="AE13" s="115"/>
      <c r="AF13" s="115"/>
      <c r="AG13" s="286"/>
      <c r="AH13" s="115"/>
      <c r="AI13" s="115"/>
      <c r="AJ13" s="286"/>
      <c r="AK13" s="115"/>
      <c r="AL13" s="115"/>
      <c r="AM13" s="115"/>
      <c r="AN13" s="286"/>
      <c r="AO13" s="115"/>
      <c r="AP13" s="115"/>
      <c r="AQ13" s="115"/>
      <c r="AR13" s="288">
        <v>1</v>
      </c>
      <c r="AS13" s="286"/>
      <c r="AT13" s="115"/>
      <c r="AU13" s="115"/>
      <c r="AV13" s="115"/>
      <c r="AW13" s="115">
        <v>2</v>
      </c>
      <c r="AX13" s="115"/>
      <c r="AY13" s="115"/>
      <c r="AZ13" s="318">
        <v>0</v>
      </c>
      <c r="BA13" s="288">
        <v>1</v>
      </c>
      <c r="BB13" s="115">
        <v>3</v>
      </c>
      <c r="BC13" s="115"/>
      <c r="BD13" s="318">
        <v>3</v>
      </c>
      <c r="BE13" s="284" t="s">
        <v>696</v>
      </c>
      <c r="BF13" s="115"/>
      <c r="BG13" s="115"/>
      <c r="BH13" s="115">
        <v>3</v>
      </c>
      <c r="BI13" s="115"/>
      <c r="BJ13" s="115"/>
      <c r="BK13" s="286"/>
      <c r="BL13" s="286" t="s">
        <v>695</v>
      </c>
      <c r="BM13" s="223">
        <f t="shared" si="1"/>
        <v>14</v>
      </c>
      <c r="BN13" s="224">
        <f t="shared" si="2"/>
        <v>0</v>
      </c>
      <c r="BO13" s="209" t="str">
        <f t="shared" si="3"/>
        <v>Oke</v>
      </c>
      <c r="BP13" s="323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</row>
    <row r="14" spans="1:133" ht="13.8" x14ac:dyDescent="0.3">
      <c r="A14" s="294" t="s">
        <v>210</v>
      </c>
      <c r="B14" s="294" t="s">
        <v>211</v>
      </c>
      <c r="C14" s="294" t="s">
        <v>27</v>
      </c>
      <c r="D14" s="294" t="s">
        <v>212</v>
      </c>
      <c r="E14" s="317">
        <v>124</v>
      </c>
      <c r="F14" s="24">
        <f t="shared" ref="F14:F19" si="4">E14/12</f>
        <v>10.333333333333334</v>
      </c>
      <c r="G14" s="249">
        <f>ROUNDUP(F14,0)</f>
        <v>11</v>
      </c>
      <c r="H14" s="101">
        <f t="shared" si="0"/>
        <v>11.272727272727273</v>
      </c>
      <c r="I14" s="79"/>
      <c r="J14" s="226">
        <f>I14*2*normuren!$B$26</f>
        <v>0</v>
      </c>
      <c r="K14" s="227">
        <f>IF(G14&lt;3,normuren!$B$8,IF(AND(G14&lt;6,G14&gt;2),normuren!$B$9,IF(AND(G14&lt;9,G14&gt;5),normuren!$B$10,normuren!$B$11)))</f>
        <v>60</v>
      </c>
      <c r="L14" s="228">
        <f>normuren!$B$27</f>
        <v>20</v>
      </c>
      <c r="M14" s="228">
        <v>20</v>
      </c>
      <c r="N14" s="250">
        <f>normuren!$B$29</f>
        <v>1.5</v>
      </c>
      <c r="O14" s="115">
        <v>2</v>
      </c>
      <c r="P14" s="115"/>
      <c r="Q14" s="266"/>
      <c r="R14" s="266"/>
      <c r="S14" s="119"/>
      <c r="T14" s="119"/>
      <c r="U14" s="288">
        <v>3</v>
      </c>
      <c r="V14" s="115"/>
      <c r="W14" s="288">
        <v>1</v>
      </c>
      <c r="X14" s="115"/>
      <c r="Y14" s="115"/>
      <c r="Z14" s="115"/>
      <c r="AA14" s="115"/>
      <c r="AB14" s="115"/>
      <c r="AC14" s="115"/>
      <c r="AD14" s="115"/>
      <c r="AE14" s="115"/>
      <c r="AF14" s="115"/>
      <c r="AG14" s="286"/>
      <c r="AH14" s="115"/>
      <c r="AI14" s="115"/>
      <c r="AJ14" s="286"/>
      <c r="AK14" s="115"/>
      <c r="AL14" s="115"/>
      <c r="AM14" s="115"/>
      <c r="AN14" s="286"/>
      <c r="AO14" s="115"/>
      <c r="AP14" s="115"/>
      <c r="AQ14" s="288">
        <v>1</v>
      </c>
      <c r="AR14" s="115"/>
      <c r="AS14" s="286"/>
      <c r="AT14" s="115"/>
      <c r="AU14" s="115"/>
      <c r="AV14" s="115"/>
      <c r="AW14" s="115"/>
      <c r="AX14" s="115"/>
      <c r="AY14" s="115"/>
      <c r="AZ14" s="115"/>
      <c r="BA14" s="115"/>
      <c r="BB14" s="115"/>
      <c r="BC14" s="288">
        <v>2</v>
      </c>
      <c r="BD14" s="115"/>
      <c r="BE14" s="115"/>
      <c r="BF14" s="115"/>
      <c r="BG14" s="115">
        <v>2</v>
      </c>
      <c r="BH14" s="115"/>
      <c r="BI14" s="115" t="s">
        <v>696</v>
      </c>
      <c r="BJ14" s="115"/>
      <c r="BK14" s="286"/>
      <c r="BL14" s="115"/>
      <c r="BM14" s="223">
        <f t="shared" si="1"/>
        <v>11</v>
      </c>
      <c r="BN14" s="224">
        <f t="shared" si="2"/>
        <v>0</v>
      </c>
      <c r="BO14" s="209" t="str">
        <f t="shared" si="3"/>
        <v>Oke</v>
      </c>
      <c r="BP14" s="319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</row>
    <row r="15" spans="1:133" ht="14.4" customHeight="1" x14ac:dyDescent="0.3">
      <c r="A15" s="294" t="s">
        <v>260</v>
      </c>
      <c r="B15" s="294" t="s">
        <v>213</v>
      </c>
      <c r="C15" s="294" t="s">
        <v>27</v>
      </c>
      <c r="D15" s="294" t="s">
        <v>214</v>
      </c>
      <c r="E15" s="317">
        <v>46</v>
      </c>
      <c r="F15" s="24">
        <f t="shared" si="4"/>
        <v>3.8333333333333335</v>
      </c>
      <c r="G15" s="249">
        <f>ROUNDUP(F15,0)</f>
        <v>4</v>
      </c>
      <c r="H15" s="101">
        <f t="shared" si="0"/>
        <v>11.5</v>
      </c>
      <c r="I15" s="79"/>
      <c r="J15" s="226">
        <f>I15*2*normuren!$B$26</f>
        <v>0</v>
      </c>
      <c r="K15" s="227">
        <f>IF(G15&lt;3,normuren!$B$8,IF(AND(G15&lt;6,G15&gt;2),normuren!$B$9,IF(AND(G15&lt;9,G15&gt;5),normuren!$B$10,normuren!$B$11)))</f>
        <v>30</v>
      </c>
      <c r="L15" s="228">
        <f>normuren!$B$27</f>
        <v>20</v>
      </c>
      <c r="M15" s="228">
        <v>20</v>
      </c>
      <c r="N15" s="250">
        <f>normuren!$B$29</f>
        <v>1.5</v>
      </c>
      <c r="O15" s="115"/>
      <c r="P15" s="115"/>
      <c r="Q15" s="266"/>
      <c r="R15" s="266"/>
      <c r="S15" s="119"/>
      <c r="T15" s="119"/>
      <c r="U15" s="115"/>
      <c r="V15" s="115"/>
      <c r="W15" s="286"/>
      <c r="X15" s="115"/>
      <c r="Y15" s="115"/>
      <c r="Z15" s="115"/>
      <c r="AA15" s="284" t="s">
        <v>696</v>
      </c>
      <c r="AB15" s="115"/>
      <c r="AC15" s="115"/>
      <c r="AD15" s="115"/>
      <c r="AE15" s="306" t="s">
        <v>696</v>
      </c>
      <c r="AF15" s="115"/>
      <c r="AG15" s="286"/>
      <c r="AH15" s="306" t="s">
        <v>696</v>
      </c>
      <c r="AI15" s="288">
        <v>1</v>
      </c>
      <c r="AJ15" s="286"/>
      <c r="AK15" s="115"/>
      <c r="AL15" s="306" t="s">
        <v>696</v>
      </c>
      <c r="AM15" s="115"/>
      <c r="AN15" s="286"/>
      <c r="AO15" s="115"/>
      <c r="AP15" s="115"/>
      <c r="AQ15" s="115"/>
      <c r="AR15" s="115"/>
      <c r="AS15" s="286"/>
      <c r="AT15" s="115"/>
      <c r="AU15" s="115"/>
      <c r="AV15" s="115"/>
      <c r="AW15" s="115"/>
      <c r="AX15" s="115"/>
      <c r="AY15" s="115"/>
      <c r="AZ15" s="115"/>
      <c r="BA15" s="115"/>
      <c r="BB15" s="115" t="s">
        <v>696</v>
      </c>
      <c r="BC15" s="115"/>
      <c r="BD15" s="115"/>
      <c r="BE15" s="115"/>
      <c r="BF15" s="288">
        <v>2</v>
      </c>
      <c r="BG15" s="115"/>
      <c r="BH15" s="115"/>
      <c r="BI15" s="115"/>
      <c r="BJ15" s="115"/>
      <c r="BK15" s="286"/>
      <c r="BL15" s="288">
        <v>1</v>
      </c>
      <c r="BM15" s="223">
        <f t="shared" si="1"/>
        <v>4</v>
      </c>
      <c r="BN15" s="224">
        <f t="shared" si="2"/>
        <v>0</v>
      </c>
      <c r="BO15" s="209" t="str">
        <f t="shared" si="3"/>
        <v>Oke</v>
      </c>
      <c r="BP15" s="323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</row>
    <row r="16" spans="1:133" ht="14.4" customHeight="1" x14ac:dyDescent="0.3">
      <c r="A16" s="294" t="s">
        <v>222</v>
      </c>
      <c r="B16" s="294" t="s">
        <v>223</v>
      </c>
      <c r="C16" s="294" t="s">
        <v>27</v>
      </c>
      <c r="D16" s="294" t="s">
        <v>224</v>
      </c>
      <c r="E16" s="317">
        <v>63</v>
      </c>
      <c r="F16" s="24">
        <f t="shared" si="4"/>
        <v>5.25</v>
      </c>
      <c r="G16" s="249">
        <v>6</v>
      </c>
      <c r="H16" s="101">
        <f t="shared" si="0"/>
        <v>10.5</v>
      </c>
      <c r="I16" s="79"/>
      <c r="J16" s="226">
        <f>I16*2*normuren!$B$26</f>
        <v>0</v>
      </c>
      <c r="K16" s="227">
        <f>IF(G16&lt;3,normuren!$B$8,IF(AND(G16&lt;6,G16&gt;2),normuren!$B$9,IF(AND(G16&lt;9,G16&gt;5),normuren!$B$10,normuren!$B$11)))</f>
        <v>45</v>
      </c>
      <c r="L16" s="228">
        <f>normuren!$B$24*2*12</f>
        <v>36</v>
      </c>
      <c r="M16" s="228">
        <f>normuren!$B$25*2*12</f>
        <v>45.599999999999994</v>
      </c>
      <c r="N16" s="250">
        <f>normuren!$B$29</f>
        <v>1.5</v>
      </c>
      <c r="O16" s="115">
        <v>4</v>
      </c>
      <c r="P16" s="115"/>
      <c r="Q16" s="266"/>
      <c r="R16" s="266"/>
      <c r="S16" s="119"/>
      <c r="T16" s="119"/>
      <c r="U16" s="115"/>
      <c r="V16" s="115"/>
      <c r="W16" s="286"/>
      <c r="X16" s="115"/>
      <c r="Y16" s="115"/>
      <c r="Z16" s="115"/>
      <c r="AA16" s="286" t="s">
        <v>695</v>
      </c>
      <c r="AB16" s="115"/>
      <c r="AC16" s="115"/>
      <c r="AD16" s="115"/>
      <c r="AE16" s="288">
        <v>2</v>
      </c>
      <c r="AF16" s="115"/>
      <c r="AG16" s="286"/>
      <c r="AH16" s="115"/>
      <c r="AI16" s="115"/>
      <c r="AJ16" s="286"/>
      <c r="AK16" s="115"/>
      <c r="AL16" s="115"/>
      <c r="AM16" s="115"/>
      <c r="AN16" s="287"/>
      <c r="AO16" s="173"/>
      <c r="AP16" s="115"/>
      <c r="AQ16" s="115"/>
      <c r="AR16" s="115"/>
      <c r="AS16" s="286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286"/>
      <c r="BL16" s="115"/>
      <c r="BM16" s="223">
        <f t="shared" si="1"/>
        <v>6</v>
      </c>
      <c r="BN16" s="224">
        <f t="shared" si="2"/>
        <v>0</v>
      </c>
      <c r="BO16" s="209" t="str">
        <f t="shared" si="3"/>
        <v>Oke</v>
      </c>
      <c r="BP16" s="323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</row>
    <row r="17" spans="1:133" ht="14.4" customHeight="1" x14ac:dyDescent="0.3">
      <c r="A17" s="294" t="s">
        <v>269</v>
      </c>
      <c r="B17" s="294" t="s">
        <v>237</v>
      </c>
      <c r="C17" s="294" t="s">
        <v>27</v>
      </c>
      <c r="D17" s="294" t="s">
        <v>238</v>
      </c>
      <c r="E17" s="231">
        <v>29</v>
      </c>
      <c r="F17" s="24">
        <f t="shared" si="4"/>
        <v>2.4166666666666665</v>
      </c>
      <c r="G17" s="314">
        <v>3</v>
      </c>
      <c r="H17" s="101">
        <f t="shared" si="0"/>
        <v>9.6666666666666661</v>
      </c>
      <c r="I17" s="79"/>
      <c r="J17" s="226">
        <f>I17*2*normuren!$B$26</f>
        <v>0</v>
      </c>
      <c r="K17" s="227">
        <f>IF(G17&lt;3,normuren!$B$8,IF(AND(G17&lt;6,G17&gt;2),normuren!$B$9,IF(AND(G17&lt;9,G17&gt;5),normuren!$B$10,normuren!$B$11)))</f>
        <v>30</v>
      </c>
      <c r="L17" s="228">
        <f>normuren!$B$24*2*12</f>
        <v>36</v>
      </c>
      <c r="M17" s="228">
        <f>normuren!$B$25*2*12</f>
        <v>45.599999999999994</v>
      </c>
      <c r="N17" s="250">
        <f>normuren!$B$29</f>
        <v>1.5</v>
      </c>
      <c r="O17" s="115"/>
      <c r="P17" s="115"/>
      <c r="Q17" s="266"/>
      <c r="R17" s="266"/>
      <c r="S17" s="119"/>
      <c r="T17" s="119"/>
      <c r="U17" s="288">
        <v>2</v>
      </c>
      <c r="V17" s="115"/>
      <c r="W17" s="286"/>
      <c r="X17" s="115"/>
      <c r="Y17" s="288">
        <v>1</v>
      </c>
      <c r="Z17" s="115"/>
      <c r="AA17" s="115"/>
      <c r="AB17" s="115"/>
      <c r="AC17" s="115"/>
      <c r="AD17" s="115"/>
      <c r="AE17" s="115"/>
      <c r="AF17" s="115"/>
      <c r="AG17" s="286"/>
      <c r="AH17" s="115"/>
      <c r="AI17" s="115"/>
      <c r="AJ17" s="286"/>
      <c r="AK17" s="115"/>
      <c r="AL17" s="115"/>
      <c r="AM17" s="115"/>
      <c r="AN17" s="286"/>
      <c r="AO17" s="115"/>
      <c r="AP17" s="115"/>
      <c r="AQ17" s="115"/>
      <c r="AR17" s="115"/>
      <c r="AS17" s="286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 t="s">
        <v>696</v>
      </c>
      <c r="BH17" s="115"/>
      <c r="BI17" s="115"/>
      <c r="BJ17" s="115"/>
      <c r="BK17" s="286"/>
      <c r="BL17" s="115"/>
      <c r="BM17" s="223">
        <f t="shared" si="1"/>
        <v>3</v>
      </c>
      <c r="BN17" s="224">
        <f t="shared" si="2"/>
        <v>0</v>
      </c>
      <c r="BO17" s="209" t="str">
        <f t="shared" si="3"/>
        <v>Oke</v>
      </c>
      <c r="BP17" s="324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</row>
    <row r="18" spans="1:133" ht="13.8" x14ac:dyDescent="0.3">
      <c r="A18" s="294" t="s">
        <v>271</v>
      </c>
      <c r="B18" s="294" t="s">
        <v>241</v>
      </c>
      <c r="C18" s="294" t="s">
        <v>27</v>
      </c>
      <c r="D18" s="294" t="s">
        <v>242</v>
      </c>
      <c r="E18" s="231">
        <v>18</v>
      </c>
      <c r="F18" s="24">
        <f t="shared" si="4"/>
        <v>1.5</v>
      </c>
      <c r="G18" s="249">
        <f>ROUNDUP(F18,0)</f>
        <v>2</v>
      </c>
      <c r="H18" s="101">
        <f t="shared" si="0"/>
        <v>9</v>
      </c>
      <c r="I18" s="79"/>
      <c r="J18" s="226">
        <f>I18*2*normuren!$B$26</f>
        <v>0</v>
      </c>
      <c r="K18" s="227">
        <f>IF(G18&lt;3,normuren!$B$8,IF(AND(G18&lt;6,G18&gt;2),normuren!$B$9,IF(AND(G18&lt;9,G18&gt;5),normuren!$B$10,normuren!$B$11)))</f>
        <v>15</v>
      </c>
      <c r="L18" s="228">
        <f>normuren!$B$24*2*12</f>
        <v>36</v>
      </c>
      <c r="M18" s="228">
        <f>normuren!$B$25*2*12</f>
        <v>45.599999999999994</v>
      </c>
      <c r="N18" s="250">
        <f>normuren!$B$29</f>
        <v>1.5</v>
      </c>
      <c r="O18" s="115"/>
      <c r="P18" s="115"/>
      <c r="Q18" s="266"/>
      <c r="R18" s="266"/>
      <c r="S18" s="119"/>
      <c r="T18" s="119"/>
      <c r="U18" s="115"/>
      <c r="V18" s="115"/>
      <c r="W18" s="286"/>
      <c r="X18" s="115"/>
      <c r="Y18" s="115"/>
      <c r="Z18" s="115"/>
      <c r="AA18" s="115"/>
      <c r="AB18" s="115"/>
      <c r="AC18" s="115"/>
      <c r="AD18" s="115"/>
      <c r="AE18" s="115"/>
      <c r="AF18" s="288" t="s">
        <v>696</v>
      </c>
      <c r="AG18" s="286"/>
      <c r="AH18" s="288" t="s">
        <v>696</v>
      </c>
      <c r="AI18" s="115"/>
      <c r="AJ18" s="286"/>
      <c r="AK18" s="115"/>
      <c r="AL18" s="115"/>
      <c r="AM18" s="115"/>
      <c r="AN18" s="286"/>
      <c r="AO18" s="115"/>
      <c r="AP18" s="115"/>
      <c r="AQ18" s="115"/>
      <c r="AR18" s="115"/>
      <c r="AS18" s="286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286"/>
      <c r="BL18" s="115"/>
      <c r="BM18" s="223">
        <f t="shared" si="1"/>
        <v>0</v>
      </c>
      <c r="BN18" s="224">
        <f t="shared" si="2"/>
        <v>2</v>
      </c>
      <c r="BO18" s="209" t="str">
        <f t="shared" si="3"/>
        <v>Problem</v>
      </c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</row>
    <row r="19" spans="1:133" ht="13.5" customHeight="1" x14ac:dyDescent="0.3">
      <c r="A19" s="294" t="s">
        <v>272</v>
      </c>
      <c r="B19" s="294" t="s">
        <v>243</v>
      </c>
      <c r="C19" s="294" t="s">
        <v>27</v>
      </c>
      <c r="D19" s="294" t="s">
        <v>244</v>
      </c>
      <c r="E19" s="231">
        <v>8</v>
      </c>
      <c r="F19" s="24">
        <f t="shared" si="4"/>
        <v>0.66666666666666663</v>
      </c>
      <c r="G19" s="249">
        <f>ROUNDUP(F19,0)</f>
        <v>1</v>
      </c>
      <c r="H19" s="101">
        <f t="shared" si="0"/>
        <v>8</v>
      </c>
      <c r="I19" s="79"/>
      <c r="J19" s="226">
        <f>I19*2*normuren!$B$26</f>
        <v>0</v>
      </c>
      <c r="K19" s="227">
        <f>IF(G19&lt;3,normuren!$B$8,IF(AND(G19&lt;6,G19&gt;2),normuren!$B$9,IF(AND(G19&lt;9,G19&gt;5),normuren!$B$10,normuren!$B$11)))</f>
        <v>15</v>
      </c>
      <c r="L19" s="228">
        <f>normuren!$B$24*2*12</f>
        <v>36</v>
      </c>
      <c r="M19" s="228">
        <f>normuren!$B$25*2*12</f>
        <v>45.599999999999994</v>
      </c>
      <c r="N19" s="250">
        <f>normuren!$B$29</f>
        <v>1.5</v>
      </c>
      <c r="O19" s="115"/>
      <c r="P19" s="115"/>
      <c r="Q19" s="266"/>
      <c r="R19" s="266"/>
      <c r="S19" s="119"/>
      <c r="T19" s="267" t="s">
        <v>696</v>
      </c>
      <c r="U19" s="115"/>
      <c r="V19" s="115"/>
      <c r="W19" s="286"/>
      <c r="X19" s="115"/>
      <c r="Y19" s="115"/>
      <c r="Z19" s="115"/>
      <c r="AA19" s="115"/>
      <c r="AB19" s="115"/>
      <c r="AC19" s="115"/>
      <c r="AD19" s="115"/>
      <c r="AE19" s="115"/>
      <c r="AF19" s="115"/>
      <c r="AG19" s="286"/>
      <c r="AH19" s="288" t="s">
        <v>696</v>
      </c>
      <c r="AI19" s="115"/>
      <c r="AJ19" s="286"/>
      <c r="AK19" s="115"/>
      <c r="AL19" s="288" t="s">
        <v>696</v>
      </c>
      <c r="AM19" s="288" t="s">
        <v>696</v>
      </c>
      <c r="AN19" s="286"/>
      <c r="AO19" s="115"/>
      <c r="AP19" s="115"/>
      <c r="AQ19" s="115"/>
      <c r="AR19" s="115"/>
      <c r="AS19" s="286"/>
      <c r="AT19" s="115"/>
      <c r="AU19" s="288" t="s">
        <v>696</v>
      </c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286"/>
      <c r="BL19" s="115"/>
      <c r="BM19" s="223">
        <f t="shared" si="1"/>
        <v>0</v>
      </c>
      <c r="BN19" s="224">
        <f t="shared" si="2"/>
        <v>1</v>
      </c>
      <c r="BO19" s="209" t="str">
        <f t="shared" si="3"/>
        <v>Problem</v>
      </c>
      <c r="BP19" s="232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</row>
    <row r="20" spans="1:133" ht="13.8" x14ac:dyDescent="0.3">
      <c r="A20" s="203" t="s">
        <v>165</v>
      </c>
      <c r="B20" s="203" t="s">
        <v>166</v>
      </c>
      <c r="C20" s="203" t="s">
        <v>245</v>
      </c>
      <c r="D20" s="203" t="s">
        <v>167</v>
      </c>
      <c r="E20" s="231">
        <v>52</v>
      </c>
      <c r="F20" s="24">
        <f>$E20/12</f>
        <v>4.333333333333333</v>
      </c>
      <c r="G20" s="314">
        <v>4</v>
      </c>
      <c r="H20" s="101">
        <f t="shared" si="0"/>
        <v>13</v>
      </c>
      <c r="I20" s="79"/>
      <c r="J20" s="226">
        <f>I20*2*normuren!$B$26</f>
        <v>0</v>
      </c>
      <c r="K20" s="227">
        <f>IF(G20&lt;3,normuren!$B$8,IF(AND(G20&lt;6,G20&gt;2),normuren!$B$9,IF(AND(G20&lt;9,G20&gt;5),normuren!$B$10,normuren!$B$11)))</f>
        <v>30</v>
      </c>
      <c r="L20" s="228">
        <f>normuren!$B$24*2*12</f>
        <v>36</v>
      </c>
      <c r="M20" s="228">
        <f>normuren!$B$25*2*12</f>
        <v>45.599999999999994</v>
      </c>
      <c r="N20" s="250">
        <f>normuren!$B$29</f>
        <v>1.5</v>
      </c>
      <c r="O20" s="115"/>
      <c r="P20" s="115"/>
      <c r="Q20" s="266"/>
      <c r="R20" s="266"/>
      <c r="S20" s="119"/>
      <c r="T20" s="119"/>
      <c r="U20" s="115"/>
      <c r="V20" s="115"/>
      <c r="W20" s="286"/>
      <c r="X20" s="115"/>
      <c r="Y20" s="115"/>
      <c r="Z20" s="115"/>
      <c r="AA20" s="115"/>
      <c r="AB20" s="115"/>
      <c r="AC20" s="115"/>
      <c r="AD20" s="115"/>
      <c r="AE20" s="115"/>
      <c r="AF20" s="115"/>
      <c r="AG20" s="286"/>
      <c r="AH20" s="115"/>
      <c r="AI20" s="115"/>
      <c r="AJ20" s="286"/>
      <c r="AK20" s="115"/>
      <c r="AL20" s="115"/>
      <c r="AM20" s="115"/>
      <c r="AN20" s="286"/>
      <c r="AO20" s="115"/>
      <c r="AP20" s="115"/>
      <c r="AQ20" s="115"/>
      <c r="AR20" s="115"/>
      <c r="AS20" s="286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286"/>
      <c r="BL20" s="115"/>
      <c r="BM20" s="223">
        <f t="shared" si="1"/>
        <v>0</v>
      </c>
      <c r="BN20" s="224">
        <f t="shared" si="2"/>
        <v>4</v>
      </c>
      <c r="BO20" s="209" t="str">
        <f t="shared" si="3"/>
        <v>Problem</v>
      </c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</row>
    <row r="21" spans="1:133" ht="13.5" customHeight="1" x14ac:dyDescent="0.3">
      <c r="A21" s="203" t="s">
        <v>169</v>
      </c>
      <c r="B21" s="203" t="s">
        <v>170</v>
      </c>
      <c r="C21" s="203" t="s">
        <v>245</v>
      </c>
      <c r="D21" s="203" t="s">
        <v>171</v>
      </c>
      <c r="E21" s="317">
        <v>29</v>
      </c>
      <c r="F21" s="24">
        <f t="shared" ref="F21:F27" si="5">E21/12</f>
        <v>2.4166666666666665</v>
      </c>
      <c r="G21" s="249">
        <f>ROUNDUP(F21,0)</f>
        <v>3</v>
      </c>
      <c r="H21" s="101">
        <f t="shared" si="0"/>
        <v>9.6666666666666661</v>
      </c>
      <c r="I21" s="79"/>
      <c r="J21" s="226">
        <f>I21*2*normuren!$B$26</f>
        <v>0</v>
      </c>
      <c r="K21" s="227">
        <f>IF(G21&lt;3,normuren!$B$8,IF(AND(G21&lt;6,G21&gt;2),normuren!$B$9,IF(AND(G21&lt;9,G21&gt;5),normuren!$B$10,normuren!$B$11)))</f>
        <v>30</v>
      </c>
      <c r="L21" s="228">
        <f>normuren!$B$27</f>
        <v>20</v>
      </c>
      <c r="M21" s="228">
        <v>20</v>
      </c>
      <c r="N21" s="250">
        <f>normuren!$B$29</f>
        <v>1.5</v>
      </c>
      <c r="O21" s="115" t="s">
        <v>696</v>
      </c>
      <c r="P21" s="115"/>
      <c r="Q21" s="266"/>
      <c r="R21" s="266"/>
      <c r="S21" s="119"/>
      <c r="T21" s="119"/>
      <c r="U21" s="115"/>
      <c r="V21" s="115"/>
      <c r="W21" s="286"/>
      <c r="X21" s="115"/>
      <c r="Y21" s="115"/>
      <c r="Z21" s="115"/>
      <c r="AA21" s="115"/>
      <c r="AB21" s="115"/>
      <c r="AC21" s="115"/>
      <c r="AD21" s="115"/>
      <c r="AE21" s="115"/>
      <c r="AF21" s="115"/>
      <c r="AG21" s="286"/>
      <c r="AH21" s="115"/>
      <c r="AI21" s="115"/>
      <c r="AJ21" s="286"/>
      <c r="AK21" s="115"/>
      <c r="AL21" s="115"/>
      <c r="AM21" s="115"/>
      <c r="AN21" s="286"/>
      <c r="AO21" s="115"/>
      <c r="AP21" s="115"/>
      <c r="AQ21" s="115"/>
      <c r="AR21" s="115"/>
      <c r="AS21" s="287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286"/>
      <c r="BL21" s="115"/>
      <c r="BM21" s="223">
        <f t="shared" si="1"/>
        <v>0</v>
      </c>
      <c r="BN21" s="224">
        <f t="shared" si="2"/>
        <v>3</v>
      </c>
      <c r="BO21" s="209" t="str">
        <f t="shared" si="3"/>
        <v>Problem</v>
      </c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</row>
    <row r="22" spans="1:133" ht="13.5" customHeight="1" x14ac:dyDescent="0.3">
      <c r="A22" s="310" t="s">
        <v>172</v>
      </c>
      <c r="B22" s="310" t="s">
        <v>173</v>
      </c>
      <c r="C22" s="310" t="s">
        <v>245</v>
      </c>
      <c r="D22" s="310" t="s">
        <v>612</v>
      </c>
      <c r="E22" s="317">
        <v>64</v>
      </c>
      <c r="F22" s="24">
        <f t="shared" si="5"/>
        <v>5.333333333333333</v>
      </c>
      <c r="G22" s="249">
        <f>ROUNDUP(F22,0)</f>
        <v>6</v>
      </c>
      <c r="H22" s="101">
        <f t="shared" si="0"/>
        <v>10.666666666666666</v>
      </c>
      <c r="I22" s="79"/>
      <c r="J22" s="226">
        <f>I22*2*normuren!$B$26</f>
        <v>0</v>
      </c>
      <c r="K22" s="227">
        <f>IF(G22&lt;3,normuren!$B$8,IF(AND(G22&lt;6,G22&gt;2),normuren!$B$9,IF(AND(G22&lt;9,G22&gt;5),normuren!$B$10,normuren!$B$11)))</f>
        <v>45</v>
      </c>
      <c r="L22" s="228">
        <f>normuren!$B$24*2*12</f>
        <v>36</v>
      </c>
      <c r="M22" s="228">
        <f>normuren!$B$25*2*12</f>
        <v>45.599999999999994</v>
      </c>
      <c r="N22" s="250">
        <f>normuren!$B$29</f>
        <v>1.5</v>
      </c>
      <c r="O22" s="115">
        <v>4</v>
      </c>
      <c r="P22" s="115"/>
      <c r="Q22" s="266"/>
      <c r="R22" s="266"/>
      <c r="S22" s="119"/>
      <c r="T22" s="119"/>
      <c r="U22" s="115"/>
      <c r="V22" s="115"/>
      <c r="W22" s="286"/>
      <c r="X22" s="115"/>
      <c r="Y22" s="115"/>
      <c r="Z22" s="115"/>
      <c r="AA22" s="115"/>
      <c r="AB22" s="115"/>
      <c r="AC22" s="115"/>
      <c r="AD22" s="115"/>
      <c r="AE22" s="115"/>
      <c r="AF22" s="115"/>
      <c r="AG22" s="286"/>
      <c r="AH22" s="115"/>
      <c r="AI22" s="115"/>
      <c r="AJ22" s="286"/>
      <c r="AK22" s="115"/>
      <c r="AL22" s="115"/>
      <c r="AM22" s="115"/>
      <c r="AN22" s="286"/>
      <c r="AO22" s="115"/>
      <c r="AP22" s="115"/>
      <c r="AQ22" s="115"/>
      <c r="AR22" s="115"/>
      <c r="AS22" s="286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318">
        <v>2</v>
      </c>
      <c r="BG22" s="115"/>
      <c r="BH22" s="318">
        <v>0</v>
      </c>
      <c r="BI22" s="115" t="s">
        <v>696</v>
      </c>
      <c r="BJ22" s="115"/>
      <c r="BK22" s="286"/>
      <c r="BL22" s="115"/>
      <c r="BM22" s="223">
        <f t="shared" si="1"/>
        <v>6</v>
      </c>
      <c r="BN22" s="224">
        <f t="shared" si="2"/>
        <v>0</v>
      </c>
      <c r="BO22" s="209" t="str">
        <f t="shared" si="3"/>
        <v>Oke</v>
      </c>
      <c r="BP22" s="209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</row>
    <row r="23" spans="1:133" ht="13.5" customHeight="1" x14ac:dyDescent="0.3">
      <c r="A23" s="203" t="s">
        <v>174</v>
      </c>
      <c r="B23" s="203" t="s">
        <v>175</v>
      </c>
      <c r="C23" s="203" t="s">
        <v>245</v>
      </c>
      <c r="D23" s="203" t="s">
        <v>176</v>
      </c>
      <c r="E23" s="317">
        <v>16</v>
      </c>
      <c r="F23" s="24">
        <f t="shared" si="5"/>
        <v>1.3333333333333333</v>
      </c>
      <c r="G23" s="249">
        <f>ROUNDUP(F23,0)</f>
        <v>2</v>
      </c>
      <c r="H23" s="101">
        <f t="shared" si="0"/>
        <v>8</v>
      </c>
      <c r="I23" s="79"/>
      <c r="J23" s="226">
        <f>I23*2*normuren!$B$26</f>
        <v>0</v>
      </c>
      <c r="K23" s="227">
        <f>IF(G23&lt;3,normuren!$B$8,IF(AND(G23&lt;6,G23&gt;2),normuren!$B$9,IF(AND(G23&lt;9,G23&gt;5),normuren!$B$10,normuren!$B$11)))</f>
        <v>15</v>
      </c>
      <c r="L23" s="228">
        <f>normuren!$B$24*2*12</f>
        <v>36</v>
      </c>
      <c r="M23" s="228">
        <f>normuren!$B$25*2*12</f>
        <v>45.599999999999994</v>
      </c>
      <c r="N23" s="250">
        <f>normuren!$B$29</f>
        <v>1.5</v>
      </c>
      <c r="O23" s="115"/>
      <c r="P23" s="115"/>
      <c r="Q23" s="266"/>
      <c r="R23" s="266"/>
      <c r="S23" s="119"/>
      <c r="T23" s="119"/>
      <c r="U23" s="115"/>
      <c r="V23" s="115"/>
      <c r="W23" s="286"/>
      <c r="X23" s="115"/>
      <c r="Y23" s="115"/>
      <c r="Z23" s="115"/>
      <c r="AA23" s="115"/>
      <c r="AB23" s="115"/>
      <c r="AC23" s="115"/>
      <c r="AD23" s="115"/>
      <c r="AE23" s="115"/>
      <c r="AF23" s="115"/>
      <c r="AG23" s="286"/>
      <c r="AH23" s="115"/>
      <c r="AI23" s="115"/>
      <c r="AJ23" s="286"/>
      <c r="AK23" s="115"/>
      <c r="AL23" s="115"/>
      <c r="AM23" s="115"/>
      <c r="AN23" s="286"/>
      <c r="AO23" s="115"/>
      <c r="AP23" s="115"/>
      <c r="AQ23" s="115"/>
      <c r="AR23" s="115"/>
      <c r="AS23" s="286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286"/>
      <c r="BL23" s="115"/>
      <c r="BM23" s="223">
        <f t="shared" si="1"/>
        <v>0</v>
      </c>
      <c r="BN23" s="224">
        <f t="shared" si="2"/>
        <v>2</v>
      </c>
      <c r="BO23" s="209" t="str">
        <f t="shared" si="3"/>
        <v>Problem</v>
      </c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</row>
    <row r="24" spans="1:133" ht="12.75" customHeight="1" x14ac:dyDescent="0.3">
      <c r="A24" s="203" t="s">
        <v>177</v>
      </c>
      <c r="B24" s="206" t="s">
        <v>655</v>
      </c>
      <c r="C24" s="203" t="s">
        <v>245</v>
      </c>
      <c r="D24" s="205" t="s">
        <v>618</v>
      </c>
      <c r="E24" s="317">
        <v>42</v>
      </c>
      <c r="F24" s="24">
        <f t="shared" si="5"/>
        <v>3.5</v>
      </c>
      <c r="G24" s="314">
        <v>4</v>
      </c>
      <c r="H24" s="101">
        <f t="shared" si="0"/>
        <v>10.5</v>
      </c>
      <c r="I24" s="79"/>
      <c r="J24" s="226">
        <f>I24*2*normuren!$B$26</f>
        <v>0</v>
      </c>
      <c r="K24" s="227">
        <f>IF(G24&lt;3,normuren!$B$8,IF(AND(G24&lt;6,G24&gt;2),normuren!$B$9,IF(AND(G24&lt;9,G24&gt;5),normuren!$B$10,normuren!$B$11)))</f>
        <v>30</v>
      </c>
      <c r="L24" s="228">
        <f>normuren!$B$24*2*12</f>
        <v>36</v>
      </c>
      <c r="M24" s="228">
        <f>normuren!$B$25*2*12</f>
        <v>45.599999999999994</v>
      </c>
      <c r="N24" s="250">
        <f>normuren!$B$29</f>
        <v>1.5</v>
      </c>
      <c r="O24" s="115"/>
      <c r="P24" s="115"/>
      <c r="Q24" s="266"/>
      <c r="R24" s="266"/>
      <c r="S24" s="119"/>
      <c r="T24" s="119"/>
      <c r="U24" s="115"/>
      <c r="V24" s="115"/>
      <c r="W24" s="286"/>
      <c r="X24" s="115"/>
      <c r="Y24" s="115"/>
      <c r="Z24" s="115"/>
      <c r="AA24" s="115"/>
      <c r="AB24" s="115"/>
      <c r="AC24" s="115"/>
      <c r="AD24" s="115"/>
      <c r="AE24" s="115"/>
      <c r="AF24" s="115"/>
      <c r="AG24" s="286"/>
      <c r="AH24" s="115"/>
      <c r="AI24" s="115"/>
      <c r="AJ24" s="286"/>
      <c r="AK24" s="115"/>
      <c r="AL24" s="115"/>
      <c r="AM24" s="115"/>
      <c r="AN24" s="286"/>
      <c r="AO24" s="115"/>
      <c r="AP24" s="115"/>
      <c r="AQ24" s="115"/>
      <c r="AR24" s="115"/>
      <c r="AS24" s="286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286"/>
      <c r="BL24" s="115"/>
      <c r="BM24" s="223">
        <f t="shared" si="1"/>
        <v>0</v>
      </c>
      <c r="BN24" s="224">
        <f t="shared" si="2"/>
        <v>4</v>
      </c>
      <c r="BO24" s="209" t="str">
        <f t="shared" si="3"/>
        <v>Problem</v>
      </c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</row>
    <row r="25" spans="1:133" ht="13.8" x14ac:dyDescent="0.3">
      <c r="A25" s="203" t="s">
        <v>251</v>
      </c>
      <c r="B25" s="203" t="s">
        <v>181</v>
      </c>
      <c r="C25" s="203" t="s">
        <v>245</v>
      </c>
      <c r="D25" s="203" t="s">
        <v>721</v>
      </c>
      <c r="E25" s="317">
        <v>35</v>
      </c>
      <c r="F25" s="24">
        <f t="shared" si="5"/>
        <v>2.9166666666666665</v>
      </c>
      <c r="G25" s="249">
        <f>ROUNDUP(F25,0)</f>
        <v>3</v>
      </c>
      <c r="H25" s="101">
        <f t="shared" si="0"/>
        <v>11.666666666666666</v>
      </c>
      <c r="I25" s="79"/>
      <c r="J25" s="226">
        <f>I25*2*normuren!$B$26</f>
        <v>0</v>
      </c>
      <c r="K25" s="227">
        <f>IF(G25&lt;3,normuren!$B$8,IF(AND(G25&lt;6,G25&gt;2),normuren!$B$9,IF(AND(G25&lt;9,G25&gt;5),normuren!$B$10,normuren!$B$11)))</f>
        <v>30</v>
      </c>
      <c r="L25" s="228">
        <f>normuren!$B$24*2*12</f>
        <v>36</v>
      </c>
      <c r="M25" s="228">
        <f>normuren!$B$25*2*12</f>
        <v>45.599999999999994</v>
      </c>
      <c r="N25" s="250">
        <f>normuren!$B$29</f>
        <v>1.5</v>
      </c>
      <c r="O25" s="115">
        <v>3</v>
      </c>
      <c r="P25" s="115"/>
      <c r="Q25" s="266"/>
      <c r="R25" s="266"/>
      <c r="S25" s="119"/>
      <c r="T25" s="119"/>
      <c r="U25" s="115"/>
      <c r="V25" s="115"/>
      <c r="W25" s="286"/>
      <c r="X25" s="115"/>
      <c r="Y25" s="115"/>
      <c r="Z25" s="115"/>
      <c r="AA25" s="115"/>
      <c r="AB25" s="115"/>
      <c r="AC25" s="115"/>
      <c r="AD25" s="115"/>
      <c r="AE25" s="115"/>
      <c r="AF25" s="115"/>
      <c r="AG25" s="286"/>
      <c r="AH25" s="115"/>
      <c r="AI25" s="115"/>
      <c r="AJ25" s="286"/>
      <c r="AK25" s="115"/>
      <c r="AL25" s="115"/>
      <c r="AM25" s="115"/>
      <c r="AN25" s="286"/>
      <c r="AO25" s="115"/>
      <c r="AP25" s="115"/>
      <c r="AQ25" s="115"/>
      <c r="AR25" s="115"/>
      <c r="AS25" s="286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286"/>
      <c r="BL25" s="115"/>
      <c r="BM25" s="223">
        <f t="shared" si="1"/>
        <v>3</v>
      </c>
      <c r="BN25" s="224">
        <f t="shared" si="2"/>
        <v>0</v>
      </c>
      <c r="BO25" s="209" t="str">
        <f t="shared" si="3"/>
        <v>Oke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</row>
    <row r="26" spans="1:133" ht="13.5" customHeight="1" x14ac:dyDescent="0.3">
      <c r="A26" s="203" t="s">
        <v>183</v>
      </c>
      <c r="B26" s="203" t="s">
        <v>184</v>
      </c>
      <c r="C26" s="203" t="s">
        <v>245</v>
      </c>
      <c r="D26" s="203" t="s">
        <v>185</v>
      </c>
      <c r="E26" s="317">
        <v>22</v>
      </c>
      <c r="F26" s="24">
        <f t="shared" si="5"/>
        <v>1.8333333333333333</v>
      </c>
      <c r="G26" s="314">
        <v>2</v>
      </c>
      <c r="H26" s="101">
        <f t="shared" si="0"/>
        <v>11</v>
      </c>
      <c r="I26" s="79"/>
      <c r="J26" s="226">
        <f>I26*2*normuren!$B$26</f>
        <v>0</v>
      </c>
      <c r="K26" s="227">
        <f>IF(G26&lt;3,normuren!$B$8,IF(AND(G26&lt;6,G26&gt;2),normuren!$B$9,IF(AND(G26&lt;9,G26&gt;5),normuren!$B$10,normuren!$B$11)))</f>
        <v>15</v>
      </c>
      <c r="L26" s="228">
        <f>normuren!$B$24*2*12</f>
        <v>36</v>
      </c>
      <c r="M26" s="228">
        <f>normuren!$B$25*2*12</f>
        <v>45.599999999999994</v>
      </c>
      <c r="N26" s="250">
        <f>normuren!$B$29</f>
        <v>1.5</v>
      </c>
      <c r="O26" s="173"/>
      <c r="P26" s="173"/>
      <c r="Q26" s="266"/>
      <c r="R26" s="266"/>
      <c r="S26" s="119"/>
      <c r="T26" s="119"/>
      <c r="U26" s="115"/>
      <c r="V26" s="115"/>
      <c r="W26" s="286"/>
      <c r="X26" s="115"/>
      <c r="Y26" s="115"/>
      <c r="Z26" s="115"/>
      <c r="AA26" s="115"/>
      <c r="AB26" s="115"/>
      <c r="AC26" s="115"/>
      <c r="AD26" s="115"/>
      <c r="AE26" s="115"/>
      <c r="AF26" s="115"/>
      <c r="AG26" s="286"/>
      <c r="AH26" s="115"/>
      <c r="AI26" s="115"/>
      <c r="AJ26" s="286"/>
      <c r="AK26" s="115"/>
      <c r="AL26" s="115"/>
      <c r="AM26" s="115"/>
      <c r="AN26" s="286"/>
      <c r="AO26" s="115"/>
      <c r="AP26" s="115"/>
      <c r="AQ26" s="115"/>
      <c r="AR26" s="173"/>
      <c r="AS26" s="286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286"/>
      <c r="BL26" s="115"/>
      <c r="BM26" s="223">
        <f t="shared" si="1"/>
        <v>0</v>
      </c>
      <c r="BN26" s="224">
        <f t="shared" si="2"/>
        <v>2</v>
      </c>
      <c r="BO26" s="209" t="str">
        <f t="shared" si="3"/>
        <v>Problem</v>
      </c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</row>
    <row r="27" spans="1:133" ht="13.5" customHeight="1" x14ac:dyDescent="0.3">
      <c r="A27" s="206" t="s">
        <v>252</v>
      </c>
      <c r="B27" s="206" t="s">
        <v>186</v>
      </c>
      <c r="C27" s="206" t="s">
        <v>245</v>
      </c>
      <c r="D27" s="206" t="s">
        <v>187</v>
      </c>
      <c r="E27" s="317">
        <v>36</v>
      </c>
      <c r="F27" s="24">
        <f t="shared" si="5"/>
        <v>3</v>
      </c>
      <c r="G27" s="249">
        <f>ROUNDUP(F27,0)</f>
        <v>3</v>
      </c>
      <c r="H27" s="101">
        <f t="shared" si="0"/>
        <v>12</v>
      </c>
      <c r="I27" s="79"/>
      <c r="J27" s="226">
        <f>I27*2*normuren!$B$26</f>
        <v>0</v>
      </c>
      <c r="K27" s="227">
        <f>IF(G27&lt;3,normuren!$B$8,IF(AND(G27&lt;6,G27&gt;2),normuren!$B$9,IF(AND(G27&lt;9,G27&gt;5),normuren!$B$10,normuren!$B$11)))</f>
        <v>30</v>
      </c>
      <c r="L27" s="228">
        <f>normuren!$B$24*2*12</f>
        <v>36</v>
      </c>
      <c r="M27" s="228">
        <f>normuren!$B$25*2*12</f>
        <v>45.599999999999994</v>
      </c>
      <c r="N27" s="250">
        <f>normuren!$B$29</f>
        <v>1.5</v>
      </c>
      <c r="O27" s="115"/>
      <c r="P27" s="115"/>
      <c r="Q27" s="266"/>
      <c r="R27" s="266"/>
      <c r="S27" s="119"/>
      <c r="T27" s="119"/>
      <c r="U27" s="115"/>
      <c r="V27" s="115"/>
      <c r="W27" s="286"/>
      <c r="X27" s="115"/>
      <c r="Y27" s="115"/>
      <c r="Z27" s="115"/>
      <c r="AA27" s="115"/>
      <c r="AB27" s="115"/>
      <c r="AC27" s="115"/>
      <c r="AD27" s="115"/>
      <c r="AE27" s="115"/>
      <c r="AF27" s="115"/>
      <c r="AG27" s="286"/>
      <c r="AH27" s="115"/>
      <c r="AI27" s="115"/>
      <c r="AJ27" s="286"/>
      <c r="AK27" s="115"/>
      <c r="AL27" s="115"/>
      <c r="AM27" s="115"/>
      <c r="AN27" s="286"/>
      <c r="AO27" s="115"/>
      <c r="AP27" s="115"/>
      <c r="AQ27" s="115"/>
      <c r="AR27" s="115"/>
      <c r="AS27" s="286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286"/>
      <c r="BL27" s="115"/>
      <c r="BM27" s="223">
        <f t="shared" si="1"/>
        <v>0</v>
      </c>
      <c r="BN27" s="224">
        <f t="shared" si="2"/>
        <v>3</v>
      </c>
      <c r="BO27" s="209" t="str">
        <f t="shared" si="3"/>
        <v>Problem</v>
      </c>
      <c r="BP27" s="209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</row>
    <row r="28" spans="1:133" ht="14.4" x14ac:dyDescent="0.3">
      <c r="A28" s="203" t="s">
        <v>190</v>
      </c>
      <c r="B28" s="203" t="s">
        <v>191</v>
      </c>
      <c r="C28" s="203" t="s">
        <v>247</v>
      </c>
      <c r="D28" s="203" t="s">
        <v>192</v>
      </c>
      <c r="E28" s="317">
        <v>27</v>
      </c>
      <c r="F28" s="24">
        <f>E28/13</f>
        <v>2.0769230769230771</v>
      </c>
      <c r="G28" s="249">
        <f>ROUNDUP(F28,0)</f>
        <v>3</v>
      </c>
      <c r="H28" s="101">
        <f t="shared" si="0"/>
        <v>9</v>
      </c>
      <c r="I28" s="79"/>
      <c r="J28" s="226">
        <f>I28*2*normuren!$B$26</f>
        <v>0</v>
      </c>
      <c r="K28" s="227">
        <f>IF(G28&lt;3,normuren!$B$8,IF(AND(G28&lt;6,G28&gt;2),normuren!$B$9,IF(AND(G28&lt;9,G28&gt;5),normuren!$B$10,normuren!$B$11)))</f>
        <v>30</v>
      </c>
      <c r="L28" s="228">
        <f>normuren!$B$24*2*12</f>
        <v>36</v>
      </c>
      <c r="M28" s="228">
        <f>normuren!$B$25*2*12</f>
        <v>45.599999999999994</v>
      </c>
      <c r="N28" s="250">
        <f>normuren!$B$29</f>
        <v>1.5</v>
      </c>
      <c r="O28" s="176"/>
      <c r="P28" s="176"/>
      <c r="Q28" s="266"/>
      <c r="R28" s="266"/>
      <c r="S28" s="119"/>
      <c r="T28" s="119"/>
      <c r="U28" s="115"/>
      <c r="V28" s="115"/>
      <c r="W28" s="286"/>
      <c r="X28" s="115"/>
      <c r="Y28" s="115"/>
      <c r="Z28" s="115"/>
      <c r="AA28" s="115"/>
      <c r="AB28" s="115"/>
      <c r="AC28" s="115"/>
      <c r="AD28" s="115"/>
      <c r="AE28" s="115"/>
      <c r="AF28" s="115"/>
      <c r="AG28" s="286"/>
      <c r="AH28" s="173"/>
      <c r="AI28" s="115"/>
      <c r="AJ28" s="286"/>
      <c r="AK28" s="115"/>
      <c r="AL28" s="115"/>
      <c r="AM28" s="115"/>
      <c r="AN28" s="286"/>
      <c r="AO28" s="115"/>
      <c r="AP28" s="115"/>
      <c r="AQ28" s="115"/>
      <c r="AR28" s="115"/>
      <c r="AS28" s="286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286"/>
      <c r="BL28" s="115"/>
      <c r="BM28" s="223">
        <f t="shared" si="1"/>
        <v>0</v>
      </c>
      <c r="BN28" s="224">
        <f t="shared" si="2"/>
        <v>3</v>
      </c>
      <c r="BO28" s="209" t="str">
        <f t="shared" si="3"/>
        <v>Problem</v>
      </c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</row>
    <row r="29" spans="1:133" ht="13.5" customHeight="1" x14ac:dyDescent="0.3">
      <c r="A29" s="203" t="s">
        <v>253</v>
      </c>
      <c r="B29" s="203" t="s">
        <v>193</v>
      </c>
      <c r="C29" s="203" t="s">
        <v>247</v>
      </c>
      <c r="D29" s="203" t="s">
        <v>614</v>
      </c>
      <c r="E29" s="317">
        <v>18</v>
      </c>
      <c r="F29" s="24">
        <f t="shared" ref="F29:F44" si="6">E29/12</f>
        <v>1.5</v>
      </c>
      <c r="G29" s="314">
        <v>2</v>
      </c>
      <c r="H29" s="101">
        <f t="shared" si="0"/>
        <v>9</v>
      </c>
      <c r="I29" s="79"/>
      <c r="J29" s="226">
        <f>I29*2*normuren!$B$26</f>
        <v>0</v>
      </c>
      <c r="K29" s="227">
        <f>IF(G29&lt;3,normuren!$B$8,IF(AND(G29&lt;6,G29&gt;2),normuren!$B$9,IF(AND(G29&lt;9,G29&gt;5),normuren!$B$10,normuren!$B$11)))</f>
        <v>15</v>
      </c>
      <c r="L29" s="228">
        <f>normuren!$B$24*2*12</f>
        <v>36</v>
      </c>
      <c r="M29" s="228">
        <f>normuren!$B$25*2*12</f>
        <v>45.599999999999994</v>
      </c>
      <c r="N29" s="250">
        <f>normuren!$B$29</f>
        <v>1.5</v>
      </c>
      <c r="O29" s="115"/>
      <c r="P29" s="115"/>
      <c r="Q29" s="266"/>
      <c r="R29" s="266"/>
      <c r="S29" s="119"/>
      <c r="T29" s="119"/>
      <c r="U29" s="115"/>
      <c r="V29" s="115"/>
      <c r="W29" s="286"/>
      <c r="X29" s="115"/>
      <c r="Y29" s="115"/>
      <c r="Z29" s="115"/>
      <c r="AA29" s="115"/>
      <c r="AB29" s="115"/>
      <c r="AC29" s="115"/>
      <c r="AD29" s="115"/>
      <c r="AE29" s="115"/>
      <c r="AF29" s="115"/>
      <c r="AG29" s="286"/>
      <c r="AH29" s="115"/>
      <c r="AI29" s="115"/>
      <c r="AJ29" s="286"/>
      <c r="AK29" s="115"/>
      <c r="AL29" s="115"/>
      <c r="AM29" s="115"/>
      <c r="AN29" s="286"/>
      <c r="AO29" s="115"/>
      <c r="AP29" s="115"/>
      <c r="AQ29" s="115"/>
      <c r="AR29" s="115"/>
      <c r="AS29" s="286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286"/>
      <c r="BL29" s="115"/>
      <c r="BM29" s="223">
        <f t="shared" si="1"/>
        <v>0</v>
      </c>
      <c r="BN29" s="224">
        <f t="shared" si="2"/>
        <v>2</v>
      </c>
      <c r="BO29" s="209" t="str">
        <f t="shared" si="3"/>
        <v>Problem</v>
      </c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</row>
    <row r="30" spans="1:133" ht="13.8" x14ac:dyDescent="0.3">
      <c r="A30" s="203" t="s">
        <v>254</v>
      </c>
      <c r="B30" s="203" t="s">
        <v>195</v>
      </c>
      <c r="C30" s="203" t="s">
        <v>247</v>
      </c>
      <c r="D30" s="206" t="s">
        <v>615</v>
      </c>
      <c r="E30" s="317">
        <v>34</v>
      </c>
      <c r="F30" s="24">
        <f t="shared" si="6"/>
        <v>2.8333333333333335</v>
      </c>
      <c r="G30" s="314">
        <v>3</v>
      </c>
      <c r="H30" s="101">
        <f t="shared" si="0"/>
        <v>11.333333333333334</v>
      </c>
      <c r="I30" s="79"/>
      <c r="J30" s="226">
        <f>I30*2*normuren!$B$26</f>
        <v>0</v>
      </c>
      <c r="K30" s="227">
        <f>IF(G30&lt;3,normuren!$B$8,IF(AND(G30&lt;6,G30&gt;2),normuren!$B$9,IF(AND(G30&lt;9,G30&gt;5),normuren!$B$10,normuren!$B$11)))</f>
        <v>30</v>
      </c>
      <c r="L30" s="228">
        <f>normuren!$B$24*2*12</f>
        <v>36</v>
      </c>
      <c r="M30" s="228">
        <f>normuren!$B$25*2*12</f>
        <v>45.599999999999994</v>
      </c>
      <c r="N30" s="250">
        <f>normuren!$B$29</f>
        <v>1.5</v>
      </c>
      <c r="O30" s="115"/>
      <c r="P30" s="115"/>
      <c r="Q30" s="266"/>
      <c r="R30" s="266"/>
      <c r="S30" s="119"/>
      <c r="T30" s="119"/>
      <c r="U30" s="115"/>
      <c r="V30" s="115"/>
      <c r="W30" s="286"/>
      <c r="X30" s="115"/>
      <c r="Y30" s="115"/>
      <c r="Z30" s="115"/>
      <c r="AA30" s="115"/>
      <c r="AB30" s="115"/>
      <c r="AC30" s="115"/>
      <c r="AD30" s="115"/>
      <c r="AE30" s="115"/>
      <c r="AF30" s="115"/>
      <c r="AG30" s="286"/>
      <c r="AH30" s="115"/>
      <c r="AI30" s="115"/>
      <c r="AJ30" s="286"/>
      <c r="AK30" s="115"/>
      <c r="AL30" s="115"/>
      <c r="AM30" s="115"/>
      <c r="AN30" s="286"/>
      <c r="AO30" s="115"/>
      <c r="AP30" s="115"/>
      <c r="AQ30" s="115"/>
      <c r="AR30" s="115"/>
      <c r="AS30" s="286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286"/>
      <c r="BL30" s="115"/>
      <c r="BM30" s="223">
        <f t="shared" si="1"/>
        <v>0</v>
      </c>
      <c r="BN30" s="224">
        <f t="shared" si="2"/>
        <v>3</v>
      </c>
      <c r="BO30" s="209" t="str">
        <f t="shared" si="3"/>
        <v>Problem</v>
      </c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</row>
    <row r="31" spans="1:133" ht="14.4" customHeight="1" x14ac:dyDescent="0.3">
      <c r="A31" s="203" t="s">
        <v>255</v>
      </c>
      <c r="B31" s="203" t="s">
        <v>196</v>
      </c>
      <c r="C31" s="203" t="s">
        <v>248</v>
      </c>
      <c r="D31" s="203" t="s">
        <v>724</v>
      </c>
      <c r="E31" s="317">
        <v>32</v>
      </c>
      <c r="F31" s="24">
        <f t="shared" si="6"/>
        <v>2.6666666666666665</v>
      </c>
      <c r="G31" s="314">
        <v>3</v>
      </c>
      <c r="H31" s="101">
        <f t="shared" si="0"/>
        <v>10.666666666666666</v>
      </c>
      <c r="I31" s="79"/>
      <c r="J31" s="226">
        <f>I31*2*normuren!$B$26</f>
        <v>0</v>
      </c>
      <c r="K31" s="227">
        <f>IF(G31&lt;3,normuren!$B$8,IF(AND(G31&lt;6,G31&gt;2),normuren!$B$9,IF(AND(G31&lt;9,G31&gt;5),normuren!$B$10,normuren!$B$11)))</f>
        <v>30</v>
      </c>
      <c r="L31" s="228">
        <f>normuren!$B$24*2*12</f>
        <v>36</v>
      </c>
      <c r="M31" s="228">
        <f>normuren!$B$25*2*12</f>
        <v>45.599999999999994</v>
      </c>
      <c r="N31" s="250">
        <f>normuren!$B$29</f>
        <v>1.5</v>
      </c>
      <c r="O31" s="115" t="s">
        <v>696</v>
      </c>
      <c r="P31" s="115"/>
      <c r="Q31" s="266"/>
      <c r="R31" s="266"/>
      <c r="S31" s="119"/>
      <c r="T31" s="119"/>
      <c r="U31" s="115"/>
      <c r="V31" s="115"/>
      <c r="W31" s="286"/>
      <c r="X31" s="115"/>
      <c r="Y31" s="115"/>
      <c r="Z31" s="115"/>
      <c r="AA31" s="115"/>
      <c r="AB31" s="115"/>
      <c r="AC31" s="115"/>
      <c r="AD31" s="115"/>
      <c r="AE31" s="115"/>
      <c r="AF31" s="115"/>
      <c r="AG31" s="286"/>
      <c r="AH31" s="115"/>
      <c r="AI31" s="115"/>
      <c r="AJ31" s="286"/>
      <c r="AK31" s="115"/>
      <c r="AL31" s="115"/>
      <c r="AM31" s="115"/>
      <c r="AN31" s="286"/>
      <c r="AO31" s="284" t="s">
        <v>696</v>
      </c>
      <c r="AP31" s="115"/>
      <c r="AQ31" s="115"/>
      <c r="AR31" s="115"/>
      <c r="AS31" s="286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286"/>
      <c r="BL31" s="115"/>
      <c r="BM31" s="223">
        <f t="shared" si="1"/>
        <v>0</v>
      </c>
      <c r="BN31" s="224">
        <f t="shared" si="2"/>
        <v>3</v>
      </c>
      <c r="BO31" s="209" t="str">
        <f t="shared" si="3"/>
        <v>Problem</v>
      </c>
      <c r="BP31" s="209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</row>
    <row r="32" spans="1:133" ht="13.8" x14ac:dyDescent="0.3">
      <c r="A32" s="203" t="s">
        <v>257</v>
      </c>
      <c r="B32" s="203" t="s">
        <v>199</v>
      </c>
      <c r="C32" s="203" t="s">
        <v>247</v>
      </c>
      <c r="D32" s="206" t="s">
        <v>200</v>
      </c>
      <c r="E32" s="317">
        <v>27</v>
      </c>
      <c r="F32" s="24">
        <f t="shared" si="6"/>
        <v>2.25</v>
      </c>
      <c r="G32" s="249">
        <f>ROUNDUP(F32,0)</f>
        <v>3</v>
      </c>
      <c r="H32" s="101">
        <f t="shared" si="0"/>
        <v>9</v>
      </c>
      <c r="I32" s="79"/>
      <c r="J32" s="226">
        <f>I32*2*normuren!$B$26</f>
        <v>0</v>
      </c>
      <c r="K32" s="227">
        <f>IF(G32&lt;3,normuren!$B$8,IF(AND(G32&lt;6,G32&gt;2),normuren!$B$9,IF(AND(G32&lt;9,G32&gt;5),normuren!$B$10,normuren!$B$11)))</f>
        <v>30</v>
      </c>
      <c r="L32" s="228">
        <f>normuren!$B$27</f>
        <v>20</v>
      </c>
      <c r="M32" s="228">
        <v>20</v>
      </c>
      <c r="N32" s="250">
        <f>normuren!$B$29</f>
        <v>1.5</v>
      </c>
      <c r="O32" s="115"/>
      <c r="P32" s="115"/>
      <c r="Q32" s="266"/>
      <c r="R32" s="266"/>
      <c r="S32" s="119"/>
      <c r="T32" s="119"/>
      <c r="U32" s="115"/>
      <c r="V32" s="115"/>
      <c r="W32" s="286"/>
      <c r="X32" s="115"/>
      <c r="Y32" s="115"/>
      <c r="Z32" s="115"/>
      <c r="AA32" s="115"/>
      <c r="AB32" s="115"/>
      <c r="AC32" s="115"/>
      <c r="AD32" s="115"/>
      <c r="AE32" s="115"/>
      <c r="AF32" s="115"/>
      <c r="AG32" s="286"/>
      <c r="AH32" s="115"/>
      <c r="AI32" s="115"/>
      <c r="AJ32" s="286"/>
      <c r="AK32" s="115"/>
      <c r="AL32" s="115"/>
      <c r="AM32" s="115"/>
      <c r="AN32" s="286"/>
      <c r="AO32" s="115"/>
      <c r="AP32" s="115"/>
      <c r="AQ32" s="115"/>
      <c r="AR32" s="115"/>
      <c r="AS32" s="286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286"/>
      <c r="BL32" s="115"/>
      <c r="BM32" s="223">
        <f t="shared" si="1"/>
        <v>0</v>
      </c>
      <c r="BN32" s="224">
        <f t="shared" si="2"/>
        <v>3</v>
      </c>
      <c r="BO32" s="209" t="str">
        <f t="shared" si="3"/>
        <v>Problem</v>
      </c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</row>
    <row r="33" spans="1:133" ht="13.8" x14ac:dyDescent="0.3">
      <c r="A33" s="203" t="s">
        <v>258</v>
      </c>
      <c r="B33" s="203" t="s">
        <v>201</v>
      </c>
      <c r="C33" s="203" t="s">
        <v>246</v>
      </c>
      <c r="D33" s="203" t="s">
        <v>202</v>
      </c>
      <c r="E33" s="317">
        <v>49</v>
      </c>
      <c r="F33" s="24">
        <f t="shared" si="6"/>
        <v>4.083333333333333</v>
      </c>
      <c r="G33" s="314">
        <v>4</v>
      </c>
      <c r="H33" s="101">
        <f t="shared" si="0"/>
        <v>12.25</v>
      </c>
      <c r="I33" s="79"/>
      <c r="J33" s="226">
        <f>I33*2*normuren!$B$26</f>
        <v>0</v>
      </c>
      <c r="K33" s="227">
        <f>IF(G33&lt;3,normuren!$B$8,IF(AND(G33&lt;6,G33&gt;2),normuren!$B$9,IF(AND(G33&lt;9,G33&gt;5),normuren!$B$10,normuren!$B$11)))</f>
        <v>30</v>
      </c>
      <c r="L33" s="228">
        <f>normuren!$B$27</f>
        <v>20</v>
      </c>
      <c r="M33" s="228">
        <v>20</v>
      </c>
      <c r="N33" s="250">
        <f>normuren!$B$29</f>
        <v>1.5</v>
      </c>
      <c r="O33" s="115"/>
      <c r="P33" s="115"/>
      <c r="Q33" s="266"/>
      <c r="R33" s="266"/>
      <c r="S33" s="119"/>
      <c r="T33" s="119"/>
      <c r="U33" s="115"/>
      <c r="V33" s="115"/>
      <c r="W33" s="286"/>
      <c r="X33" s="115"/>
      <c r="Y33" s="115"/>
      <c r="Z33" s="115"/>
      <c r="AA33" s="115"/>
      <c r="AB33" s="115"/>
      <c r="AC33" s="115"/>
      <c r="AD33" s="115"/>
      <c r="AE33" s="115"/>
      <c r="AF33" s="115"/>
      <c r="AG33" s="286"/>
      <c r="AH33" s="115"/>
      <c r="AI33" s="115"/>
      <c r="AJ33" s="286"/>
      <c r="AK33" s="115"/>
      <c r="AL33" s="115"/>
      <c r="AM33" s="115"/>
      <c r="AN33" s="286"/>
      <c r="AO33" s="284" t="s">
        <v>696</v>
      </c>
      <c r="AP33" s="115"/>
      <c r="AQ33" s="115"/>
      <c r="AR33" s="115"/>
      <c r="AS33" s="286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286"/>
      <c r="BL33" s="115"/>
      <c r="BM33" s="223">
        <f t="shared" si="1"/>
        <v>0</v>
      </c>
      <c r="BN33" s="224">
        <f t="shared" si="2"/>
        <v>4</v>
      </c>
      <c r="BO33" s="209" t="str">
        <f t="shared" si="3"/>
        <v>Problem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</row>
    <row r="34" spans="1:133" ht="14.4" x14ac:dyDescent="0.3">
      <c r="A34" s="203" t="s">
        <v>261</v>
      </c>
      <c r="B34" s="203" t="s">
        <v>215</v>
      </c>
      <c r="C34" s="203" t="s">
        <v>246</v>
      </c>
      <c r="D34" s="206" t="s">
        <v>216</v>
      </c>
      <c r="E34" s="317">
        <v>23</v>
      </c>
      <c r="F34" s="24">
        <f t="shared" si="6"/>
        <v>1.9166666666666667</v>
      </c>
      <c r="G34" s="249">
        <f>ROUNDUP(F34,0)</f>
        <v>2</v>
      </c>
      <c r="H34" s="101">
        <f t="shared" si="0"/>
        <v>11.5</v>
      </c>
      <c r="I34" s="79"/>
      <c r="J34" s="226">
        <f>I34*2*normuren!$B$26</f>
        <v>0</v>
      </c>
      <c r="K34" s="227">
        <f>IF(G34&lt;3,normuren!$B$8,IF(AND(G34&lt;6,G34&gt;2),normuren!$B$9,IF(AND(G34&lt;9,G34&gt;5),normuren!$B$10,normuren!$B$11)))</f>
        <v>15</v>
      </c>
      <c r="L34" s="228">
        <f>normuren!$B$24*2*12</f>
        <v>36</v>
      </c>
      <c r="M34" s="228">
        <f>normuren!$B$25*2*12</f>
        <v>45.599999999999994</v>
      </c>
      <c r="N34" s="250">
        <f>normuren!$B$29</f>
        <v>1.5</v>
      </c>
      <c r="O34" s="115"/>
      <c r="P34" s="115"/>
      <c r="Q34" s="266"/>
      <c r="R34" s="266"/>
      <c r="S34" s="119"/>
      <c r="T34" s="119"/>
      <c r="U34" s="115"/>
      <c r="V34" s="173"/>
      <c r="W34" s="286"/>
      <c r="X34" s="115"/>
      <c r="Y34" s="115"/>
      <c r="Z34" s="115"/>
      <c r="AA34" s="115"/>
      <c r="AB34" s="115"/>
      <c r="AC34" s="115"/>
      <c r="AD34" s="115"/>
      <c r="AE34" s="115"/>
      <c r="AF34" s="115"/>
      <c r="AG34" s="286"/>
      <c r="AH34" s="115"/>
      <c r="AI34" s="115"/>
      <c r="AJ34" s="286"/>
      <c r="AK34" s="115"/>
      <c r="AL34" s="115"/>
      <c r="AM34" s="115"/>
      <c r="AN34" s="286"/>
      <c r="AO34" s="115"/>
      <c r="AP34" s="115"/>
      <c r="AQ34" s="115"/>
      <c r="AR34" s="115"/>
      <c r="AS34" s="286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73"/>
      <c r="BK34" s="286"/>
      <c r="BL34" s="173"/>
      <c r="BM34" s="223">
        <f t="shared" si="1"/>
        <v>0</v>
      </c>
      <c r="BN34" s="224">
        <f t="shared" si="2"/>
        <v>2</v>
      </c>
      <c r="BO34" s="209" t="str">
        <f t="shared" si="3"/>
        <v>Problem</v>
      </c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</row>
    <row r="35" spans="1:133" ht="13.8" x14ac:dyDescent="0.3">
      <c r="A35" s="310" t="s">
        <v>217</v>
      </c>
      <c r="B35" s="310" t="s">
        <v>218</v>
      </c>
      <c r="C35" s="310" t="s">
        <v>248</v>
      </c>
      <c r="D35" s="310" t="s">
        <v>719</v>
      </c>
      <c r="E35" s="317">
        <v>99</v>
      </c>
      <c r="F35" s="24">
        <f t="shared" si="6"/>
        <v>8.25</v>
      </c>
      <c r="G35" s="314">
        <v>9</v>
      </c>
      <c r="H35" s="101">
        <f t="shared" si="0"/>
        <v>11</v>
      </c>
      <c r="I35" s="79"/>
      <c r="J35" s="226">
        <f>I35*2*normuren!$B$26</f>
        <v>0</v>
      </c>
      <c r="K35" s="227">
        <f>IF(G35&lt;3,normuren!$B$8,IF(AND(G35&lt;6,G35&gt;2),normuren!$B$9,IF(AND(G35&lt;9,G35&gt;5),normuren!$B$10,normuren!$B$11)))</f>
        <v>60</v>
      </c>
      <c r="L35" s="228">
        <f>normuren!$B$24*2*12</f>
        <v>36</v>
      </c>
      <c r="M35" s="228">
        <f>normuren!$B$25*2*12</f>
        <v>45.599999999999994</v>
      </c>
      <c r="N35" s="250">
        <f>normuren!$B$29</f>
        <v>1.5</v>
      </c>
      <c r="O35" s="115">
        <v>8</v>
      </c>
      <c r="P35" s="115"/>
      <c r="Q35" s="266"/>
      <c r="R35" s="266"/>
      <c r="S35" s="119"/>
      <c r="T35" s="119"/>
      <c r="U35" s="115"/>
      <c r="V35" s="115"/>
      <c r="W35" s="286"/>
      <c r="X35" s="115"/>
      <c r="Y35" s="115"/>
      <c r="Z35" s="284" t="s">
        <v>717</v>
      </c>
      <c r="AA35" s="115"/>
      <c r="AB35" s="115"/>
      <c r="AC35" s="115"/>
      <c r="AD35" s="115"/>
      <c r="AE35" s="115"/>
      <c r="AF35" s="115"/>
      <c r="AG35" s="286"/>
      <c r="AH35" s="115"/>
      <c r="AI35" s="115"/>
      <c r="AJ35" s="286"/>
      <c r="AK35" s="115"/>
      <c r="AL35" s="115"/>
      <c r="AM35" s="115"/>
      <c r="AN35" s="286"/>
      <c r="AO35" s="115"/>
      <c r="AP35" s="115"/>
      <c r="AQ35" s="115"/>
      <c r="AR35" s="115"/>
      <c r="AS35" s="286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318">
        <v>2</v>
      </c>
      <c r="BI35" s="115"/>
      <c r="BJ35" s="115"/>
      <c r="BK35" s="286"/>
      <c r="BL35" s="115"/>
      <c r="BM35" s="223">
        <f t="shared" si="1"/>
        <v>10</v>
      </c>
      <c r="BN35" s="224">
        <f t="shared" si="2"/>
        <v>-1</v>
      </c>
      <c r="BO35" s="209" t="str">
        <f t="shared" si="3"/>
        <v>Oke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</row>
    <row r="36" spans="1:133" ht="14.4" x14ac:dyDescent="0.3">
      <c r="A36" s="203" t="s">
        <v>219</v>
      </c>
      <c r="B36" s="203" t="s">
        <v>220</v>
      </c>
      <c r="C36" s="203" t="s">
        <v>249</v>
      </c>
      <c r="D36" s="203" t="s">
        <v>221</v>
      </c>
      <c r="E36" s="317">
        <v>60</v>
      </c>
      <c r="F36" s="24">
        <f t="shared" si="6"/>
        <v>5</v>
      </c>
      <c r="G36" s="314">
        <v>5</v>
      </c>
      <c r="H36" s="101">
        <f t="shared" si="0"/>
        <v>12</v>
      </c>
      <c r="I36" s="79"/>
      <c r="J36" s="226">
        <f>I36*2*normuren!$B$26</f>
        <v>0</v>
      </c>
      <c r="K36" s="227">
        <f>IF(G36&lt;3,normuren!$B$8,IF(AND(G36&lt;6,G36&gt;2),normuren!$B$9,IF(AND(G36&lt;9,G36&gt;5),normuren!$B$10,normuren!$B$11)))</f>
        <v>30</v>
      </c>
      <c r="L36" s="228">
        <f>normuren!$B$24*2*12</f>
        <v>36</v>
      </c>
      <c r="M36" s="228">
        <f>normuren!$B$25*2*12</f>
        <v>45.599999999999994</v>
      </c>
      <c r="N36" s="250">
        <f>normuren!$B$29</f>
        <v>1.5</v>
      </c>
      <c r="O36" s="115"/>
      <c r="P36" s="252"/>
      <c r="Q36" s="266"/>
      <c r="R36" s="266"/>
      <c r="S36" s="119"/>
      <c r="T36" s="119"/>
      <c r="U36" s="115"/>
      <c r="V36" s="115"/>
      <c r="W36" s="287"/>
      <c r="X36" s="173"/>
      <c r="Y36" s="115"/>
      <c r="Z36" s="115"/>
      <c r="AA36" s="115"/>
      <c r="AB36" s="173"/>
      <c r="AC36" s="173"/>
      <c r="AD36" s="173"/>
      <c r="AE36" s="115"/>
      <c r="AF36" s="115"/>
      <c r="AG36" s="286"/>
      <c r="AH36" s="115"/>
      <c r="AI36" s="115"/>
      <c r="AJ36" s="286"/>
      <c r="AK36" s="115"/>
      <c r="AL36" s="115"/>
      <c r="AM36" s="115"/>
      <c r="AN36" s="286"/>
      <c r="AO36" s="115"/>
      <c r="AP36" s="115"/>
      <c r="AQ36" s="115"/>
      <c r="AR36" s="115"/>
      <c r="AS36" s="286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286"/>
      <c r="BL36" s="115"/>
      <c r="BM36" s="223">
        <f t="shared" si="1"/>
        <v>0</v>
      </c>
      <c r="BN36" s="224">
        <f t="shared" si="2"/>
        <v>5</v>
      </c>
      <c r="BO36" s="209" t="str">
        <f t="shared" si="3"/>
        <v>Problem</v>
      </c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</row>
    <row r="37" spans="1:133" ht="14.4" x14ac:dyDescent="0.3">
      <c r="A37" s="310" t="s">
        <v>262</v>
      </c>
      <c r="B37" s="310" t="s">
        <v>225</v>
      </c>
      <c r="C37" s="310" t="s">
        <v>249</v>
      </c>
      <c r="D37" s="310" t="s">
        <v>226</v>
      </c>
      <c r="E37" s="317">
        <v>27</v>
      </c>
      <c r="F37" s="24">
        <f t="shared" si="6"/>
        <v>2.25</v>
      </c>
      <c r="G37" s="249">
        <f>ROUNDUP(F37,0)</f>
        <v>3</v>
      </c>
      <c r="H37" s="101">
        <f t="shared" si="0"/>
        <v>9</v>
      </c>
      <c r="I37" s="79"/>
      <c r="J37" s="226">
        <f>I37*2*normuren!$B$26</f>
        <v>0</v>
      </c>
      <c r="K37" s="227">
        <f>IF(G37&lt;3,normuren!$B$8,IF(AND(G37&lt;6,G37&gt;2),normuren!$B$9,IF(AND(G37&lt;9,G37&gt;5),normuren!$B$10,normuren!$B$11)))</f>
        <v>30</v>
      </c>
      <c r="L37" s="228">
        <f>normuren!$B$24*2*12</f>
        <v>36</v>
      </c>
      <c r="M37" s="228">
        <f>normuren!$B$25*2*12</f>
        <v>45.599999999999994</v>
      </c>
      <c r="N37" s="250">
        <f>normuren!$B$29</f>
        <v>1.5</v>
      </c>
      <c r="O37" s="115">
        <v>3</v>
      </c>
      <c r="P37" s="115"/>
      <c r="Q37" s="266"/>
      <c r="R37" s="266"/>
      <c r="S37" s="119"/>
      <c r="T37" s="119"/>
      <c r="U37" s="115"/>
      <c r="V37" s="115"/>
      <c r="W37" s="286"/>
      <c r="X37" s="115"/>
      <c r="Y37" s="173"/>
      <c r="Z37" s="173"/>
      <c r="AA37" s="115"/>
      <c r="AB37" s="115"/>
      <c r="AC37" s="115"/>
      <c r="AD37" s="115"/>
      <c r="AE37" s="115"/>
      <c r="AF37" s="115"/>
      <c r="AG37" s="286"/>
      <c r="AH37" s="115"/>
      <c r="AI37" s="115"/>
      <c r="AJ37" s="286"/>
      <c r="AK37" s="115"/>
      <c r="AL37" s="115"/>
      <c r="AM37" s="115"/>
      <c r="AN37" s="286"/>
      <c r="AO37" s="115"/>
      <c r="AP37" s="115"/>
      <c r="AQ37" s="115"/>
      <c r="AR37" s="115"/>
      <c r="AS37" s="286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286"/>
      <c r="BL37" s="115"/>
      <c r="BM37" s="223">
        <f t="shared" si="1"/>
        <v>3</v>
      </c>
      <c r="BN37" s="224">
        <f t="shared" si="2"/>
        <v>0</v>
      </c>
      <c r="BO37" s="209" t="str">
        <f t="shared" si="3"/>
        <v>Oke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</row>
    <row r="38" spans="1:133" ht="13.8" x14ac:dyDescent="0.3">
      <c r="A38" s="203" t="s">
        <v>263</v>
      </c>
      <c r="B38" s="203" t="s">
        <v>227</v>
      </c>
      <c r="C38" s="203" t="s">
        <v>250</v>
      </c>
      <c r="D38" s="206" t="s">
        <v>228</v>
      </c>
      <c r="E38" s="317">
        <v>23</v>
      </c>
      <c r="F38" s="24">
        <f t="shared" si="6"/>
        <v>1.9166666666666667</v>
      </c>
      <c r="G38" s="314">
        <v>2</v>
      </c>
      <c r="H38" s="101">
        <f t="shared" si="0"/>
        <v>11.5</v>
      </c>
      <c r="I38" s="79"/>
      <c r="J38" s="226">
        <f>I38*2*normuren!$B$26</f>
        <v>0</v>
      </c>
      <c r="K38" s="227">
        <f>IF(G38&lt;3,normuren!$B$8,IF(AND(G38&lt;6,G38&gt;2),normuren!$B$9,IF(AND(G38&lt;9,G38&gt;5),normuren!$B$10,normuren!$B$11)))</f>
        <v>15</v>
      </c>
      <c r="L38" s="228">
        <f>normuren!$B$24*2*12</f>
        <v>36</v>
      </c>
      <c r="M38" s="228">
        <f>normuren!$B$25*2*12</f>
        <v>45.599999999999994</v>
      </c>
      <c r="N38" s="250">
        <f>normuren!$B$29</f>
        <v>1.5</v>
      </c>
      <c r="O38" s="115"/>
      <c r="P38" s="115"/>
      <c r="Q38" s="266"/>
      <c r="R38" s="266"/>
      <c r="S38" s="119"/>
      <c r="T38" s="119"/>
      <c r="U38" s="115"/>
      <c r="V38" s="115"/>
      <c r="W38" s="286"/>
      <c r="X38" s="115"/>
      <c r="Y38" s="115"/>
      <c r="Z38" s="115"/>
      <c r="AA38" s="115"/>
      <c r="AB38" s="115"/>
      <c r="AC38" s="115"/>
      <c r="AD38" s="115"/>
      <c r="AE38" s="115"/>
      <c r="AF38" s="115"/>
      <c r="AG38" s="286"/>
      <c r="AH38" s="115"/>
      <c r="AI38" s="115"/>
      <c r="AJ38" s="286"/>
      <c r="AK38" s="115"/>
      <c r="AL38" s="115"/>
      <c r="AM38" s="115"/>
      <c r="AN38" s="286"/>
      <c r="AO38" s="115"/>
      <c r="AP38" s="115"/>
      <c r="AQ38" s="115"/>
      <c r="AR38" s="115"/>
      <c r="AS38" s="286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286"/>
      <c r="BL38" s="115"/>
      <c r="BM38" s="223">
        <f t="shared" si="1"/>
        <v>0</v>
      </c>
      <c r="BN38" s="224">
        <f t="shared" si="2"/>
        <v>2</v>
      </c>
      <c r="BO38" s="209" t="str">
        <f t="shared" si="3"/>
        <v>Problem</v>
      </c>
      <c r="BP38" s="209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</row>
    <row r="39" spans="1:133" ht="13.5" customHeight="1" x14ac:dyDescent="0.3">
      <c r="A39" s="203" t="s">
        <v>264</v>
      </c>
      <c r="B39" s="203" t="s">
        <v>229</v>
      </c>
      <c r="C39" s="203" t="s">
        <v>245</v>
      </c>
      <c r="D39" s="203" t="s">
        <v>230</v>
      </c>
      <c r="E39" s="317">
        <v>90</v>
      </c>
      <c r="F39" s="24">
        <f t="shared" si="6"/>
        <v>7.5</v>
      </c>
      <c r="G39" s="314">
        <v>9</v>
      </c>
      <c r="H39" s="101">
        <f t="shared" si="0"/>
        <v>10</v>
      </c>
      <c r="I39" s="79"/>
      <c r="J39" s="226">
        <f>I39*2*normuren!$B$26</f>
        <v>0</v>
      </c>
      <c r="K39" s="227">
        <f>IF(G39&lt;3,normuren!$B$8,IF(AND(G39&lt;6,G39&gt;2),normuren!$B$9,IF(AND(G39&lt;9,G39&gt;5),normuren!$B$10,normuren!$B$11)))</f>
        <v>60</v>
      </c>
      <c r="L39" s="228">
        <f>normuren!$B$24*2*12</f>
        <v>36</v>
      </c>
      <c r="M39" s="228">
        <f>normuren!$B$25*2*12</f>
        <v>45.599999999999994</v>
      </c>
      <c r="N39" s="250">
        <f>normuren!$B$29</f>
        <v>1.5</v>
      </c>
      <c r="O39" s="115"/>
      <c r="P39" s="115"/>
      <c r="Q39" s="266"/>
      <c r="R39" s="266"/>
      <c r="S39" s="119"/>
      <c r="T39" s="119"/>
      <c r="U39" s="115"/>
      <c r="V39" s="115"/>
      <c r="W39" s="286"/>
      <c r="X39" s="115"/>
      <c r="Y39" s="115"/>
      <c r="Z39" s="115"/>
      <c r="AA39" s="115"/>
      <c r="AB39" s="115"/>
      <c r="AC39" s="115"/>
      <c r="AD39" s="115"/>
      <c r="AE39" s="115"/>
      <c r="AF39" s="115"/>
      <c r="AG39" s="286"/>
      <c r="AH39" s="115"/>
      <c r="AI39" s="115"/>
      <c r="AJ39" s="286"/>
      <c r="AK39" s="115"/>
      <c r="AL39" s="115"/>
      <c r="AM39" s="115"/>
      <c r="AN39" s="286"/>
      <c r="AO39" s="115"/>
      <c r="AP39" s="115"/>
      <c r="AQ39" s="115"/>
      <c r="AR39" s="115"/>
      <c r="AS39" s="286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287"/>
      <c r="BL39" s="173"/>
      <c r="BM39" s="223">
        <f t="shared" si="1"/>
        <v>0</v>
      </c>
      <c r="BN39" s="224">
        <f t="shared" si="2"/>
        <v>9</v>
      </c>
      <c r="BO39" s="209" t="str">
        <f t="shared" si="3"/>
        <v>Problem</v>
      </c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</row>
    <row r="40" spans="1:133" ht="14.4" x14ac:dyDescent="0.3">
      <c r="A40" s="310" t="s">
        <v>265</v>
      </c>
      <c r="B40" s="310" t="s">
        <v>657</v>
      </c>
      <c r="C40" s="310" t="s">
        <v>248</v>
      </c>
      <c r="D40" s="310" t="s">
        <v>231</v>
      </c>
      <c r="E40" s="317">
        <v>62</v>
      </c>
      <c r="F40" s="24">
        <f t="shared" si="6"/>
        <v>5.166666666666667</v>
      </c>
      <c r="G40" s="314">
        <v>5</v>
      </c>
      <c r="H40" s="101">
        <f t="shared" si="0"/>
        <v>12.4</v>
      </c>
      <c r="I40" s="79"/>
      <c r="J40" s="226">
        <f>I40*2*normuren!$B$26</f>
        <v>0</v>
      </c>
      <c r="K40" s="227">
        <f>IF(G40&lt;3,normuren!$B$8,IF(AND(G40&lt;6,G40&gt;2),normuren!$B$9,IF(AND(G40&lt;9,G40&gt;5),normuren!$B$10,normuren!$B$11)))</f>
        <v>30</v>
      </c>
      <c r="L40" s="228">
        <f>normuren!$B$24*2*12</f>
        <v>36</v>
      </c>
      <c r="M40" s="228">
        <f>normuren!$B$25*2*12</f>
        <v>45.599999999999994</v>
      </c>
      <c r="N40" s="250">
        <f>normuren!$B$29</f>
        <v>1.5</v>
      </c>
      <c r="O40" s="115">
        <v>5</v>
      </c>
      <c r="P40" s="115"/>
      <c r="Q40" s="266"/>
      <c r="R40" s="266"/>
      <c r="S40" s="119"/>
      <c r="T40" s="119"/>
      <c r="U40" s="115"/>
      <c r="V40" s="115"/>
      <c r="W40" s="286"/>
      <c r="X40" s="115"/>
      <c r="Y40" s="173"/>
      <c r="Z40" s="173"/>
      <c r="AA40" s="115"/>
      <c r="AB40" s="115"/>
      <c r="AC40" s="115"/>
      <c r="AD40" s="115"/>
      <c r="AE40" s="115"/>
      <c r="AF40" s="115"/>
      <c r="AG40" s="286"/>
      <c r="AH40" s="115"/>
      <c r="AI40" s="115"/>
      <c r="AJ40" s="286"/>
      <c r="AK40" s="115"/>
      <c r="AL40" s="115"/>
      <c r="AM40" s="115"/>
      <c r="AN40" s="286"/>
      <c r="AO40" s="115"/>
      <c r="AP40" s="115"/>
      <c r="AQ40" s="115"/>
      <c r="AR40" s="115"/>
      <c r="AS40" s="286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318">
        <v>0</v>
      </c>
      <c r="BG40" s="115"/>
      <c r="BH40" s="115"/>
      <c r="BI40" s="115"/>
      <c r="BJ40" s="115"/>
      <c r="BK40" s="286"/>
      <c r="BL40" s="115"/>
      <c r="BM40" s="223">
        <f t="shared" si="1"/>
        <v>5</v>
      </c>
      <c r="BN40" s="224">
        <f t="shared" si="2"/>
        <v>0</v>
      </c>
      <c r="BO40" s="209" t="str">
        <f t="shared" si="3"/>
        <v>Oke</v>
      </c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</row>
    <row r="41" spans="1:133" ht="15.6" x14ac:dyDescent="0.3">
      <c r="A41" s="203" t="s">
        <v>266</v>
      </c>
      <c r="B41" s="203" t="s">
        <v>232</v>
      </c>
      <c r="C41" s="203" t="s">
        <v>245</v>
      </c>
      <c r="D41" s="203" t="s">
        <v>233</v>
      </c>
      <c r="E41" s="317">
        <v>77</v>
      </c>
      <c r="F41" s="24">
        <f t="shared" si="6"/>
        <v>6.416666666666667</v>
      </c>
      <c r="G41" s="249">
        <f>ROUNDUP(F41,0)</f>
        <v>7</v>
      </c>
      <c r="H41" s="101">
        <f t="shared" si="0"/>
        <v>11</v>
      </c>
      <c r="I41" s="79"/>
      <c r="J41" s="226">
        <f>I41*2*normuren!$B$26</f>
        <v>0</v>
      </c>
      <c r="K41" s="227">
        <f>IF(G41&lt;3,normuren!$B$8,IF(AND(G41&lt;6,G41&gt;2),normuren!$B$9,IF(AND(G41&lt;9,G41&gt;5),normuren!$B$10,normuren!$B$11)))</f>
        <v>45</v>
      </c>
      <c r="L41" s="228">
        <f>normuren!$B$24*2*12</f>
        <v>36</v>
      </c>
      <c r="M41" s="228">
        <f>normuren!$B$25*2*12</f>
        <v>45.599999999999994</v>
      </c>
      <c r="N41" s="250">
        <f>normuren!$B$29</f>
        <v>1.5</v>
      </c>
      <c r="O41" s="115"/>
      <c r="P41" s="115"/>
      <c r="Q41" s="266"/>
      <c r="R41" s="266"/>
      <c r="S41" s="119"/>
      <c r="T41" s="119"/>
      <c r="U41" s="115"/>
      <c r="V41" s="115"/>
      <c r="W41" s="286"/>
      <c r="X41" s="115"/>
      <c r="Y41" s="115"/>
      <c r="Z41" s="115"/>
      <c r="AA41" s="115"/>
      <c r="AB41" s="115"/>
      <c r="AC41" s="115"/>
      <c r="AD41" s="115"/>
      <c r="AE41" s="115"/>
      <c r="AF41" s="115"/>
      <c r="AG41" s="286"/>
      <c r="AH41" s="115"/>
      <c r="AI41" s="115"/>
      <c r="AJ41" s="286"/>
      <c r="AK41" s="115"/>
      <c r="AL41" s="115"/>
      <c r="AM41" s="115"/>
      <c r="AN41" s="286"/>
      <c r="AO41" s="115"/>
      <c r="AP41" s="115"/>
      <c r="AQ41" s="115"/>
      <c r="AR41" s="115"/>
      <c r="AS41" s="286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286"/>
      <c r="BL41" s="115"/>
      <c r="BM41" s="223">
        <f t="shared" si="1"/>
        <v>0</v>
      </c>
      <c r="BN41" s="224">
        <f t="shared" si="2"/>
        <v>7</v>
      </c>
      <c r="BO41" s="209" t="str">
        <f t="shared" si="3"/>
        <v>Problem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</row>
    <row r="42" spans="1:133" ht="14.4" x14ac:dyDescent="0.3">
      <c r="A42" s="310" t="s">
        <v>267</v>
      </c>
      <c r="B42" s="310" t="s">
        <v>234</v>
      </c>
      <c r="C42" s="310" t="s">
        <v>248</v>
      </c>
      <c r="D42" s="310" t="s">
        <v>616</v>
      </c>
      <c r="E42" s="317">
        <v>52</v>
      </c>
      <c r="F42" s="24">
        <f t="shared" si="6"/>
        <v>4.333333333333333</v>
      </c>
      <c r="G42" s="249">
        <f>ROUNDUP(F42,0)</f>
        <v>5</v>
      </c>
      <c r="H42" s="101">
        <f t="shared" si="0"/>
        <v>10.4</v>
      </c>
      <c r="I42" s="79"/>
      <c r="J42" s="226">
        <f>I42*2*normuren!$B$26</f>
        <v>0</v>
      </c>
      <c r="K42" s="227">
        <f>IF(G42&lt;3,normuren!$B$8,IF(AND(G42&lt;6,G42&gt;2),normuren!$B$9,IF(AND(G42&lt;9,G42&gt;5),normuren!$B$10,normuren!$B$11)))</f>
        <v>30</v>
      </c>
      <c r="L42" s="228">
        <f>normuren!$B$24*2*12</f>
        <v>36</v>
      </c>
      <c r="M42" s="228">
        <f>normuren!$B$25*2*12</f>
        <v>45.599999999999994</v>
      </c>
      <c r="N42" s="250">
        <f>normuren!$B$29</f>
        <v>1.5</v>
      </c>
      <c r="O42" s="115">
        <v>5</v>
      </c>
      <c r="P42" s="115"/>
      <c r="Q42" s="266"/>
      <c r="R42" s="266"/>
      <c r="S42" s="119"/>
      <c r="T42" s="173"/>
      <c r="U42" s="115"/>
      <c r="V42" s="115"/>
      <c r="W42" s="286"/>
      <c r="X42" s="115"/>
      <c r="Y42" s="115"/>
      <c r="Z42" s="115"/>
      <c r="AA42" s="173"/>
      <c r="AB42" s="115"/>
      <c r="AC42" s="115"/>
      <c r="AD42" s="115"/>
      <c r="AE42" s="115"/>
      <c r="AF42" s="115"/>
      <c r="AG42" s="286"/>
      <c r="AH42" s="115"/>
      <c r="AI42" s="115"/>
      <c r="AJ42" s="286"/>
      <c r="AK42" s="115"/>
      <c r="AL42" s="115"/>
      <c r="AM42" s="115"/>
      <c r="AN42" s="286"/>
      <c r="AO42" s="115"/>
      <c r="AP42" s="115"/>
      <c r="AQ42" s="115"/>
      <c r="AR42" s="115"/>
      <c r="AS42" s="286"/>
      <c r="AT42" s="173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73"/>
      <c r="BK42" s="286"/>
      <c r="BL42" s="115"/>
      <c r="BM42" s="223">
        <f t="shared" si="1"/>
        <v>5</v>
      </c>
      <c r="BN42" s="224">
        <f t="shared" si="2"/>
        <v>0</v>
      </c>
      <c r="BO42" s="209" t="str">
        <f t="shared" si="3"/>
        <v>Oke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</row>
    <row r="43" spans="1:133" ht="13.8" x14ac:dyDescent="0.3">
      <c r="A43" s="203" t="s">
        <v>268</v>
      </c>
      <c r="B43" s="203" t="s">
        <v>235</v>
      </c>
      <c r="C43" s="203" t="s">
        <v>249</v>
      </c>
      <c r="D43" s="206" t="s">
        <v>236</v>
      </c>
      <c r="E43" s="317">
        <v>25</v>
      </c>
      <c r="F43" s="24">
        <f t="shared" si="6"/>
        <v>2.0833333333333335</v>
      </c>
      <c r="G43" s="314">
        <v>2</v>
      </c>
      <c r="H43" s="101">
        <f t="shared" si="0"/>
        <v>12.5</v>
      </c>
      <c r="I43" s="79"/>
      <c r="J43" s="226">
        <f>I43*2*normuren!$B$26</f>
        <v>0</v>
      </c>
      <c r="K43" s="227">
        <f>IF(G43&lt;3,normuren!$B$8,IF(AND(G43&lt;6,G43&gt;2),normuren!$B$9,IF(AND(G43&lt;9,G43&gt;5),normuren!$B$10,normuren!$B$11)))</f>
        <v>15</v>
      </c>
      <c r="L43" s="228">
        <f>normuren!$B$24*2*12</f>
        <v>36</v>
      </c>
      <c r="M43" s="228">
        <f>normuren!$B$25*2*12</f>
        <v>45.599999999999994</v>
      </c>
      <c r="N43" s="250">
        <f>normuren!$B$29</f>
        <v>1.5</v>
      </c>
      <c r="O43" s="115"/>
      <c r="P43" s="115"/>
      <c r="Q43" s="266"/>
      <c r="R43" s="266"/>
      <c r="S43" s="119"/>
      <c r="T43" s="119"/>
      <c r="U43" s="115"/>
      <c r="V43" s="115"/>
      <c r="W43" s="286"/>
      <c r="X43" s="115"/>
      <c r="Y43" s="115"/>
      <c r="Z43" s="115"/>
      <c r="AA43" s="115"/>
      <c r="AB43" s="115"/>
      <c r="AC43" s="115"/>
      <c r="AD43" s="115"/>
      <c r="AE43" s="115"/>
      <c r="AF43" s="115"/>
      <c r="AG43" s="286"/>
      <c r="AH43" s="115"/>
      <c r="AI43" s="115"/>
      <c r="AJ43" s="286"/>
      <c r="AK43" s="115"/>
      <c r="AL43" s="115"/>
      <c r="AM43" s="115"/>
      <c r="AN43" s="286"/>
      <c r="AO43" s="115"/>
      <c r="AP43" s="115"/>
      <c r="AQ43" s="115"/>
      <c r="AR43" s="115"/>
      <c r="AS43" s="286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286"/>
      <c r="BL43" s="115"/>
      <c r="BM43" s="223">
        <f t="shared" si="1"/>
        <v>0</v>
      </c>
      <c r="BN43" s="224">
        <f t="shared" si="2"/>
        <v>2</v>
      </c>
      <c r="BO43" s="209" t="str">
        <f t="shared" si="3"/>
        <v>Problem</v>
      </c>
      <c r="BP43" s="209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</row>
    <row r="44" spans="1:133" ht="14.4" x14ac:dyDescent="0.3">
      <c r="A44" s="203" t="s">
        <v>270</v>
      </c>
      <c r="B44" s="203" t="s">
        <v>239</v>
      </c>
      <c r="C44" s="203" t="s">
        <v>249</v>
      </c>
      <c r="D44" s="203" t="s">
        <v>240</v>
      </c>
      <c r="E44" s="317">
        <v>29</v>
      </c>
      <c r="F44" s="24">
        <f t="shared" si="6"/>
        <v>2.4166666666666665</v>
      </c>
      <c r="G44" s="314">
        <v>3</v>
      </c>
      <c r="H44" s="101">
        <f t="shared" si="0"/>
        <v>9.6666666666666661</v>
      </c>
      <c r="I44" s="79"/>
      <c r="J44" s="226">
        <f>I44*2*normuren!$B$26</f>
        <v>0</v>
      </c>
      <c r="K44" s="227">
        <f>IF(G44&lt;3,normuren!$B$8,IF(AND(G44&lt;6,G44&gt;2),normuren!$B$9,IF(AND(G44&lt;9,G44&gt;5),normuren!$B$10,normuren!$B$11)))</f>
        <v>30</v>
      </c>
      <c r="L44" s="228">
        <f>normuren!$B$24*2*12</f>
        <v>36</v>
      </c>
      <c r="M44" s="228">
        <f>normuren!$B$25*2*12</f>
        <v>45.599999999999994</v>
      </c>
      <c r="N44" s="250">
        <f>normuren!$B$29</f>
        <v>1.5</v>
      </c>
      <c r="O44" s="115"/>
      <c r="P44" s="115"/>
      <c r="Q44" s="266"/>
      <c r="R44" s="266"/>
      <c r="S44" s="119"/>
      <c r="T44" s="119"/>
      <c r="U44" s="115"/>
      <c r="V44" s="115"/>
      <c r="W44" s="286"/>
      <c r="X44" s="115"/>
      <c r="Y44" s="115"/>
      <c r="Z44" s="115"/>
      <c r="AA44" s="115"/>
      <c r="AB44" s="115"/>
      <c r="AC44" s="115"/>
      <c r="AD44" s="115"/>
      <c r="AE44" s="115"/>
      <c r="AF44" s="115"/>
      <c r="AG44" s="286"/>
      <c r="AH44" s="115"/>
      <c r="AI44" s="115"/>
      <c r="AJ44" s="286"/>
      <c r="AK44" s="115"/>
      <c r="AL44" s="115"/>
      <c r="AM44" s="173"/>
      <c r="AN44" s="286"/>
      <c r="AO44" s="115"/>
      <c r="AP44" s="115"/>
      <c r="AQ44" s="115"/>
      <c r="AR44" s="115"/>
      <c r="AS44" s="286"/>
      <c r="AT44" s="115"/>
      <c r="AU44" s="115"/>
      <c r="AV44" s="173"/>
      <c r="AW44" s="173"/>
      <c r="AX44" s="173"/>
      <c r="AY44" s="173"/>
      <c r="AZ44" s="173"/>
      <c r="BA44" s="173"/>
      <c r="BB44" s="173"/>
      <c r="BC44" s="173"/>
      <c r="BD44" s="173"/>
      <c r="BE44" s="173"/>
      <c r="BF44" s="173"/>
      <c r="BG44" s="173"/>
      <c r="BH44" s="173"/>
      <c r="BI44" s="173"/>
      <c r="BJ44" s="115"/>
      <c r="BK44" s="286"/>
      <c r="BL44" s="115"/>
      <c r="BM44" s="223">
        <f t="shared" si="1"/>
        <v>0</v>
      </c>
      <c r="BN44" s="224">
        <f t="shared" si="2"/>
        <v>3</v>
      </c>
      <c r="BO44" s="209" t="str">
        <f t="shared" si="3"/>
        <v>Problem</v>
      </c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</row>
    <row r="45" spans="1:133" ht="12.6" x14ac:dyDescent="0.2">
      <c r="A45" s="177"/>
      <c r="B45" s="177"/>
      <c r="C45" s="177"/>
      <c r="D45" s="177"/>
      <c r="E45" s="180"/>
      <c r="F45" s="28"/>
      <c r="G45" s="178"/>
      <c r="H45" s="29"/>
      <c r="I45" s="178"/>
      <c r="J45" s="181"/>
      <c r="K45" s="181"/>
      <c r="L45" s="181"/>
      <c r="M45" s="181"/>
      <c r="N45" s="182"/>
      <c r="O45" s="179"/>
      <c r="P45" s="179"/>
      <c r="Q45" s="175"/>
      <c r="R45" s="175"/>
      <c r="S45" s="175"/>
      <c r="T45" s="175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79"/>
      <c r="AQ45" s="179"/>
      <c r="AR45" s="179"/>
      <c r="AS45" s="179"/>
      <c r="AT45" s="179"/>
      <c r="AU45" s="179"/>
      <c r="AV45" s="179"/>
      <c r="AW45" s="179"/>
      <c r="AX45" s="179"/>
      <c r="AY45" s="179"/>
      <c r="AZ45" s="179"/>
      <c r="BA45" s="179"/>
      <c r="BB45" s="179"/>
      <c r="BC45" s="179"/>
      <c r="BD45" s="179"/>
      <c r="BE45" s="179"/>
      <c r="BF45" s="179"/>
      <c r="BG45" s="179"/>
      <c r="BH45" s="179"/>
      <c r="BI45" s="179"/>
      <c r="BJ45" s="179"/>
      <c r="BK45" s="179"/>
      <c r="BL45" s="179"/>
      <c r="BM45" s="179"/>
      <c r="BN45" s="183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</row>
    <row r="46" spans="1:133" hidden="1" x14ac:dyDescent="0.2">
      <c r="A46" s="171" t="s">
        <v>10</v>
      </c>
      <c r="B46" s="149"/>
      <c r="C46" s="134"/>
      <c r="D46" s="134"/>
      <c r="E46" s="135"/>
      <c r="F46" s="150"/>
      <c r="G46" s="151">
        <f>SUM(G5:G45)</f>
        <v>208</v>
      </c>
      <c r="H46" s="134"/>
      <c r="I46" s="134"/>
      <c r="J46" s="134"/>
      <c r="K46" s="134"/>
      <c r="L46" s="136"/>
      <c r="M46" s="136"/>
      <c r="N46" s="152"/>
      <c r="O46" s="143">
        <f t="shared" ref="O46:AV46" si="7">SUM(O3:O44)</f>
        <v>34</v>
      </c>
      <c r="P46" s="143">
        <f t="shared" si="7"/>
        <v>0</v>
      </c>
      <c r="Q46" s="143">
        <f t="shared" si="7"/>
        <v>0</v>
      </c>
      <c r="R46" s="143">
        <f t="shared" si="7"/>
        <v>0</v>
      </c>
      <c r="S46" s="143">
        <f t="shared" si="7"/>
        <v>0</v>
      </c>
      <c r="T46" s="143">
        <f t="shared" si="7"/>
        <v>0</v>
      </c>
      <c r="U46" s="143">
        <f t="shared" si="7"/>
        <v>5</v>
      </c>
      <c r="V46" s="143">
        <f t="shared" si="7"/>
        <v>2</v>
      </c>
      <c r="W46" s="143">
        <f t="shared" si="7"/>
        <v>1</v>
      </c>
      <c r="X46" s="143">
        <f t="shared" si="7"/>
        <v>1</v>
      </c>
      <c r="Y46" s="143">
        <f t="shared" si="7"/>
        <v>1</v>
      </c>
      <c r="Z46" s="143">
        <f t="shared" si="7"/>
        <v>0</v>
      </c>
      <c r="AA46" s="143">
        <f t="shared" si="7"/>
        <v>0</v>
      </c>
      <c r="AB46" s="143">
        <f t="shared" si="7"/>
        <v>3</v>
      </c>
      <c r="AC46" s="143"/>
      <c r="AD46" s="143">
        <f t="shared" si="7"/>
        <v>2</v>
      </c>
      <c r="AE46" s="143">
        <f t="shared" si="7"/>
        <v>3</v>
      </c>
      <c r="AF46" s="143">
        <f t="shared" si="7"/>
        <v>2</v>
      </c>
      <c r="AG46" s="143">
        <f t="shared" si="7"/>
        <v>0</v>
      </c>
      <c r="AH46" s="143">
        <f t="shared" si="7"/>
        <v>2</v>
      </c>
      <c r="AI46" s="143">
        <f t="shared" si="7"/>
        <v>1</v>
      </c>
      <c r="AJ46" s="143">
        <f t="shared" si="7"/>
        <v>0</v>
      </c>
      <c r="AK46" s="143">
        <f t="shared" si="7"/>
        <v>2</v>
      </c>
      <c r="AL46" s="143">
        <f t="shared" si="7"/>
        <v>1</v>
      </c>
      <c r="AM46" s="143">
        <f t="shared" si="7"/>
        <v>1</v>
      </c>
      <c r="AN46" s="143">
        <f t="shared" si="7"/>
        <v>0</v>
      </c>
      <c r="AO46" s="143">
        <f t="shared" si="7"/>
        <v>1</v>
      </c>
      <c r="AP46" s="143">
        <f t="shared" si="7"/>
        <v>2</v>
      </c>
      <c r="AQ46" s="143">
        <f t="shared" si="7"/>
        <v>2</v>
      </c>
      <c r="AR46" s="143">
        <f t="shared" si="7"/>
        <v>3</v>
      </c>
      <c r="AS46" s="143">
        <f>SUM(AS3:AS44)</f>
        <v>0</v>
      </c>
      <c r="AT46" s="143">
        <f t="shared" si="7"/>
        <v>2</v>
      </c>
      <c r="AU46" s="143">
        <f t="shared" si="7"/>
        <v>3</v>
      </c>
      <c r="AV46" s="143">
        <f t="shared" si="7"/>
        <v>5</v>
      </c>
      <c r="AW46" s="143"/>
      <c r="AX46" s="143"/>
      <c r="AY46" s="143">
        <f>SUM(AY3:AY44)</f>
        <v>5</v>
      </c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>
        <f>SUM(BJ3:BJ44)</f>
        <v>5</v>
      </c>
      <c r="BK46" s="143">
        <f>SUM(BK3:BK44)</f>
        <v>0</v>
      </c>
      <c r="BL46" s="143">
        <f>SUM(BL3:BL44)</f>
        <v>1</v>
      </c>
      <c r="BM46" s="141">
        <f>SUM(BM3:BM44)</f>
        <v>140</v>
      </c>
      <c r="BN46" s="141">
        <f>SUM(BN3:BN44)</f>
        <v>68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</row>
    <row r="47" spans="1:133" hidden="1" x14ac:dyDescent="0.2">
      <c r="A47" s="172" t="s">
        <v>39</v>
      </c>
      <c r="B47" s="146"/>
      <c r="C47" s="30"/>
      <c r="D47" s="30"/>
      <c r="E47" s="31"/>
      <c r="F47" s="30"/>
      <c r="G47" s="30"/>
      <c r="H47" s="30"/>
      <c r="I47" s="30"/>
      <c r="J47" s="30"/>
      <c r="K47" s="30"/>
      <c r="L47" s="32"/>
      <c r="M47" s="32"/>
      <c r="N47" s="147"/>
      <c r="O47" s="143">
        <f t="shared" ref="O47:AV47" si="8">SUM(O5:O45)</f>
        <v>34</v>
      </c>
      <c r="P47" s="143">
        <f t="shared" si="8"/>
        <v>0</v>
      </c>
      <c r="Q47" s="143">
        <f t="shared" si="8"/>
        <v>0</v>
      </c>
      <c r="R47" s="143">
        <f t="shared" si="8"/>
        <v>0</v>
      </c>
      <c r="S47" s="143">
        <f t="shared" si="8"/>
        <v>0</v>
      </c>
      <c r="T47" s="143">
        <f t="shared" si="8"/>
        <v>0</v>
      </c>
      <c r="U47" s="143">
        <f t="shared" si="8"/>
        <v>5</v>
      </c>
      <c r="V47" s="143">
        <f t="shared" si="8"/>
        <v>2</v>
      </c>
      <c r="W47" s="143">
        <f t="shared" si="8"/>
        <v>1</v>
      </c>
      <c r="X47" s="143">
        <f t="shared" si="8"/>
        <v>1</v>
      </c>
      <c r="Y47" s="143">
        <f t="shared" si="8"/>
        <v>1</v>
      </c>
      <c r="Z47" s="143">
        <f t="shared" si="8"/>
        <v>0</v>
      </c>
      <c r="AA47" s="143">
        <f t="shared" si="8"/>
        <v>0</v>
      </c>
      <c r="AB47" s="143">
        <f t="shared" si="8"/>
        <v>3</v>
      </c>
      <c r="AC47" s="143"/>
      <c r="AD47" s="143">
        <f t="shared" si="8"/>
        <v>2</v>
      </c>
      <c r="AE47" s="143">
        <f t="shared" si="8"/>
        <v>2</v>
      </c>
      <c r="AF47" s="143">
        <f t="shared" si="8"/>
        <v>1</v>
      </c>
      <c r="AG47" s="143">
        <f t="shared" si="8"/>
        <v>0</v>
      </c>
      <c r="AH47" s="143">
        <f t="shared" si="8"/>
        <v>1</v>
      </c>
      <c r="AI47" s="143">
        <f t="shared" si="8"/>
        <v>1</v>
      </c>
      <c r="AJ47" s="143">
        <f t="shared" si="8"/>
        <v>0</v>
      </c>
      <c r="AK47" s="143">
        <f t="shared" si="8"/>
        <v>2</v>
      </c>
      <c r="AL47" s="143">
        <f t="shared" si="8"/>
        <v>0</v>
      </c>
      <c r="AM47" s="143">
        <f t="shared" si="8"/>
        <v>1</v>
      </c>
      <c r="AN47" s="143">
        <f t="shared" si="8"/>
        <v>0</v>
      </c>
      <c r="AO47" s="143">
        <f t="shared" si="8"/>
        <v>1</v>
      </c>
      <c r="AP47" s="143">
        <f t="shared" si="8"/>
        <v>2</v>
      </c>
      <c r="AQ47" s="143">
        <f t="shared" si="8"/>
        <v>1</v>
      </c>
      <c r="AR47" s="143">
        <f t="shared" si="8"/>
        <v>3</v>
      </c>
      <c r="AS47" s="143">
        <f t="shared" ref="AS47:AS54" si="9">SUM(AS6:AS45)</f>
        <v>0</v>
      </c>
      <c r="AT47" s="143">
        <f t="shared" si="8"/>
        <v>2</v>
      </c>
      <c r="AU47" s="143">
        <f t="shared" si="8"/>
        <v>3</v>
      </c>
      <c r="AV47" s="143">
        <f t="shared" si="8"/>
        <v>5</v>
      </c>
      <c r="AW47" s="143"/>
      <c r="AX47" s="143"/>
      <c r="AY47" s="143">
        <f t="shared" ref="AY47:AY54" si="10">SUM(AY5:AY45)</f>
        <v>5</v>
      </c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>
        <f t="shared" ref="BJ47:BJ54" si="11">SUM(BJ5:BJ45)</f>
        <v>5</v>
      </c>
      <c r="BK47" s="143">
        <f t="shared" ref="BK47:BL54" si="12">SUM(BK5:BK45)</f>
        <v>0</v>
      </c>
      <c r="BL47" s="143">
        <f t="shared" si="12"/>
        <v>1</v>
      </c>
      <c r="BM47" s="141">
        <f>SUMPRODUCT($L$3:$L$44,BM3:BM44)</f>
        <v>4480</v>
      </c>
      <c r="BN47" s="141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</row>
    <row r="48" spans="1:133" hidden="1" x14ac:dyDescent="0.2">
      <c r="A48" s="172" t="s">
        <v>54</v>
      </c>
      <c r="B48" s="146"/>
      <c r="C48" s="30"/>
      <c r="D48" s="30"/>
      <c r="E48" s="31"/>
      <c r="F48" s="30"/>
      <c r="G48" s="30"/>
      <c r="H48" s="30"/>
      <c r="I48" s="30"/>
      <c r="J48" s="30"/>
      <c r="K48" s="30"/>
      <c r="L48" s="32"/>
      <c r="M48" s="32"/>
      <c r="N48" s="147"/>
      <c r="O48" s="143">
        <f t="shared" ref="O48:AV48" si="13">SUM(O6:O46)</f>
        <v>68</v>
      </c>
      <c r="P48" s="143">
        <f t="shared" si="13"/>
        <v>0</v>
      </c>
      <c r="Q48" s="143">
        <f t="shared" si="13"/>
        <v>0</v>
      </c>
      <c r="R48" s="143">
        <f t="shared" si="13"/>
        <v>0</v>
      </c>
      <c r="S48" s="143">
        <f t="shared" si="13"/>
        <v>0</v>
      </c>
      <c r="T48" s="143">
        <f t="shared" si="13"/>
        <v>0</v>
      </c>
      <c r="U48" s="143">
        <f t="shared" si="13"/>
        <v>10</v>
      </c>
      <c r="V48" s="143">
        <f t="shared" si="13"/>
        <v>4</v>
      </c>
      <c r="W48" s="143">
        <f t="shared" si="13"/>
        <v>2</v>
      </c>
      <c r="X48" s="143">
        <f t="shared" si="13"/>
        <v>2</v>
      </c>
      <c r="Y48" s="143">
        <f t="shared" si="13"/>
        <v>2</v>
      </c>
      <c r="Z48" s="143">
        <f t="shared" si="13"/>
        <v>0</v>
      </c>
      <c r="AA48" s="143">
        <f t="shared" si="13"/>
        <v>0</v>
      </c>
      <c r="AB48" s="143">
        <f t="shared" si="13"/>
        <v>6</v>
      </c>
      <c r="AC48" s="143"/>
      <c r="AD48" s="143">
        <f t="shared" si="13"/>
        <v>4</v>
      </c>
      <c r="AE48" s="143">
        <f t="shared" si="13"/>
        <v>5</v>
      </c>
      <c r="AF48" s="143">
        <f t="shared" si="13"/>
        <v>3</v>
      </c>
      <c r="AG48" s="143">
        <f t="shared" si="13"/>
        <v>0</v>
      </c>
      <c r="AH48" s="143">
        <f t="shared" si="13"/>
        <v>3</v>
      </c>
      <c r="AI48" s="143">
        <f t="shared" si="13"/>
        <v>2</v>
      </c>
      <c r="AJ48" s="143">
        <f t="shared" si="13"/>
        <v>0</v>
      </c>
      <c r="AK48" s="143">
        <f t="shared" si="13"/>
        <v>2</v>
      </c>
      <c r="AL48" s="143">
        <f t="shared" si="13"/>
        <v>1</v>
      </c>
      <c r="AM48" s="143">
        <f t="shared" si="13"/>
        <v>2</v>
      </c>
      <c r="AN48" s="143">
        <f t="shared" si="13"/>
        <v>0</v>
      </c>
      <c r="AO48" s="143">
        <f t="shared" si="13"/>
        <v>2</v>
      </c>
      <c r="AP48" s="143">
        <f t="shared" si="13"/>
        <v>2</v>
      </c>
      <c r="AQ48" s="143">
        <f t="shared" si="13"/>
        <v>3</v>
      </c>
      <c r="AR48" s="143">
        <f t="shared" si="13"/>
        <v>6</v>
      </c>
      <c r="AS48" s="143">
        <f t="shared" si="9"/>
        <v>0</v>
      </c>
      <c r="AT48" s="143">
        <f t="shared" si="13"/>
        <v>4</v>
      </c>
      <c r="AU48" s="143">
        <f t="shared" si="13"/>
        <v>6</v>
      </c>
      <c r="AV48" s="143">
        <f t="shared" si="13"/>
        <v>10</v>
      </c>
      <c r="AW48" s="143"/>
      <c r="AX48" s="143"/>
      <c r="AY48" s="143">
        <f t="shared" si="10"/>
        <v>7</v>
      </c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>
        <f t="shared" si="11"/>
        <v>7</v>
      </c>
      <c r="BK48" s="143">
        <f t="shared" si="12"/>
        <v>0</v>
      </c>
      <c r="BL48" s="143">
        <f t="shared" si="12"/>
        <v>2</v>
      </c>
      <c r="BM48" s="139">
        <f>SUMPRODUCT($H$3:$H$44,$N$3:$N$44,BM3:BM44)</f>
        <v>2326.5</v>
      </c>
      <c r="BN48" s="139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</row>
    <row r="49" spans="1:133" hidden="1" x14ac:dyDescent="0.2">
      <c r="A49" s="172" t="s">
        <v>36</v>
      </c>
      <c r="B49" s="146"/>
      <c r="C49" s="30"/>
      <c r="D49" s="30"/>
      <c r="E49" s="31"/>
      <c r="F49" s="30"/>
      <c r="G49" s="30"/>
      <c r="H49" s="30"/>
      <c r="I49" s="30"/>
      <c r="J49" s="30"/>
      <c r="K49" s="30"/>
      <c r="L49" s="32"/>
      <c r="M49" s="32"/>
      <c r="N49" s="147"/>
      <c r="O49" s="143">
        <f t="shared" ref="O49:AV49" si="14">SUM(O7:O47)</f>
        <v>102</v>
      </c>
      <c r="P49" s="143">
        <f t="shared" si="14"/>
        <v>0</v>
      </c>
      <c r="Q49" s="143">
        <f t="shared" si="14"/>
        <v>0</v>
      </c>
      <c r="R49" s="143">
        <f t="shared" si="14"/>
        <v>0</v>
      </c>
      <c r="S49" s="143">
        <f t="shared" si="14"/>
        <v>0</v>
      </c>
      <c r="T49" s="143">
        <f t="shared" si="14"/>
        <v>0</v>
      </c>
      <c r="U49" s="143">
        <f t="shared" si="14"/>
        <v>15</v>
      </c>
      <c r="V49" s="143">
        <f t="shared" si="14"/>
        <v>6</v>
      </c>
      <c r="W49" s="143">
        <f t="shared" si="14"/>
        <v>3</v>
      </c>
      <c r="X49" s="143">
        <f t="shared" si="14"/>
        <v>3</v>
      </c>
      <c r="Y49" s="143">
        <f t="shared" si="14"/>
        <v>3</v>
      </c>
      <c r="Z49" s="143">
        <f t="shared" si="14"/>
        <v>0</v>
      </c>
      <c r="AA49" s="143">
        <f t="shared" si="14"/>
        <v>0</v>
      </c>
      <c r="AB49" s="143">
        <f t="shared" si="14"/>
        <v>6</v>
      </c>
      <c r="AC49" s="143"/>
      <c r="AD49" s="143">
        <f t="shared" si="14"/>
        <v>6</v>
      </c>
      <c r="AE49" s="143">
        <f t="shared" si="14"/>
        <v>7</v>
      </c>
      <c r="AF49" s="143">
        <f t="shared" si="14"/>
        <v>4</v>
      </c>
      <c r="AG49" s="143">
        <f t="shared" si="14"/>
        <v>0</v>
      </c>
      <c r="AH49" s="143">
        <f t="shared" si="14"/>
        <v>4</v>
      </c>
      <c r="AI49" s="143">
        <f t="shared" si="14"/>
        <v>3</v>
      </c>
      <c r="AJ49" s="143">
        <f t="shared" si="14"/>
        <v>0</v>
      </c>
      <c r="AK49" s="143">
        <f t="shared" si="14"/>
        <v>4</v>
      </c>
      <c r="AL49" s="143">
        <f t="shared" si="14"/>
        <v>1</v>
      </c>
      <c r="AM49" s="143">
        <f t="shared" si="14"/>
        <v>3</v>
      </c>
      <c r="AN49" s="143">
        <f t="shared" si="14"/>
        <v>0</v>
      </c>
      <c r="AO49" s="143">
        <f t="shared" si="14"/>
        <v>3</v>
      </c>
      <c r="AP49" s="143">
        <f t="shared" si="14"/>
        <v>4</v>
      </c>
      <c r="AQ49" s="143">
        <f t="shared" si="14"/>
        <v>4</v>
      </c>
      <c r="AR49" s="143">
        <f t="shared" si="14"/>
        <v>9</v>
      </c>
      <c r="AS49" s="143">
        <f t="shared" si="9"/>
        <v>0</v>
      </c>
      <c r="AT49" s="143">
        <f t="shared" si="14"/>
        <v>6</v>
      </c>
      <c r="AU49" s="143">
        <f t="shared" si="14"/>
        <v>9</v>
      </c>
      <c r="AV49" s="143">
        <f t="shared" si="14"/>
        <v>12</v>
      </c>
      <c r="AW49" s="143"/>
      <c r="AX49" s="143"/>
      <c r="AY49" s="143">
        <f t="shared" si="10"/>
        <v>12</v>
      </c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>
        <f t="shared" si="11"/>
        <v>12</v>
      </c>
      <c r="BK49" s="143">
        <f t="shared" si="12"/>
        <v>0</v>
      </c>
      <c r="BL49" s="143">
        <f t="shared" si="12"/>
        <v>3</v>
      </c>
      <c r="BM49" s="141">
        <f>DSUM($D$2:$BM$44,$K$2,BM55:BM56)</f>
        <v>0</v>
      </c>
      <c r="BN49" s="139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</row>
    <row r="50" spans="1:133" s="158" customFormat="1" hidden="1" x14ac:dyDescent="0.2">
      <c r="A50" s="172" t="s">
        <v>138</v>
      </c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4"/>
      <c r="O50" s="143">
        <f t="shared" ref="O50:AV50" si="15">SUM(O8:O48)</f>
        <v>170</v>
      </c>
      <c r="P50" s="143">
        <f t="shared" si="15"/>
        <v>0</v>
      </c>
      <c r="Q50" s="143">
        <f t="shared" si="15"/>
        <v>0</v>
      </c>
      <c r="R50" s="143">
        <f t="shared" si="15"/>
        <v>0</v>
      </c>
      <c r="S50" s="143">
        <f t="shared" si="15"/>
        <v>0</v>
      </c>
      <c r="T50" s="143">
        <f t="shared" si="15"/>
        <v>0</v>
      </c>
      <c r="U50" s="143">
        <f t="shared" si="15"/>
        <v>25</v>
      </c>
      <c r="V50" s="143">
        <f t="shared" si="15"/>
        <v>10</v>
      </c>
      <c r="W50" s="143">
        <f t="shared" si="15"/>
        <v>5</v>
      </c>
      <c r="X50" s="143">
        <f t="shared" si="15"/>
        <v>5</v>
      </c>
      <c r="Y50" s="143">
        <f t="shared" si="15"/>
        <v>5</v>
      </c>
      <c r="Z50" s="143">
        <f t="shared" si="15"/>
        <v>0</v>
      </c>
      <c r="AA50" s="143">
        <f t="shared" si="15"/>
        <v>0</v>
      </c>
      <c r="AB50" s="143">
        <f t="shared" si="15"/>
        <v>12</v>
      </c>
      <c r="AC50" s="143"/>
      <c r="AD50" s="143">
        <f t="shared" si="15"/>
        <v>10</v>
      </c>
      <c r="AE50" s="143">
        <f t="shared" si="15"/>
        <v>12</v>
      </c>
      <c r="AF50" s="143">
        <f t="shared" si="15"/>
        <v>7</v>
      </c>
      <c r="AG50" s="143">
        <f t="shared" si="15"/>
        <v>0</v>
      </c>
      <c r="AH50" s="143">
        <f t="shared" si="15"/>
        <v>7</v>
      </c>
      <c r="AI50" s="143">
        <f t="shared" si="15"/>
        <v>5</v>
      </c>
      <c r="AJ50" s="143">
        <f t="shared" si="15"/>
        <v>0</v>
      </c>
      <c r="AK50" s="143">
        <f t="shared" si="15"/>
        <v>6</v>
      </c>
      <c r="AL50" s="143">
        <f t="shared" si="15"/>
        <v>2</v>
      </c>
      <c r="AM50" s="143">
        <f t="shared" si="15"/>
        <v>4</v>
      </c>
      <c r="AN50" s="143">
        <f t="shared" si="15"/>
        <v>0</v>
      </c>
      <c r="AO50" s="143">
        <f t="shared" si="15"/>
        <v>5</v>
      </c>
      <c r="AP50" s="143">
        <f t="shared" si="15"/>
        <v>6</v>
      </c>
      <c r="AQ50" s="143">
        <f t="shared" si="15"/>
        <v>7</v>
      </c>
      <c r="AR50" s="143">
        <f t="shared" si="15"/>
        <v>15</v>
      </c>
      <c r="AS50" s="143">
        <f t="shared" si="9"/>
        <v>0</v>
      </c>
      <c r="AT50" s="143">
        <f t="shared" si="15"/>
        <v>10</v>
      </c>
      <c r="AU50" s="143">
        <f t="shared" si="15"/>
        <v>15</v>
      </c>
      <c r="AV50" s="143">
        <f t="shared" si="15"/>
        <v>22</v>
      </c>
      <c r="AW50" s="143"/>
      <c r="AX50" s="143"/>
      <c r="AY50" s="143">
        <f t="shared" si="10"/>
        <v>19</v>
      </c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>
        <f t="shared" si="11"/>
        <v>19</v>
      </c>
      <c r="BK50" s="143">
        <f t="shared" si="12"/>
        <v>0</v>
      </c>
      <c r="BL50" s="143">
        <f t="shared" si="12"/>
        <v>5</v>
      </c>
      <c r="BM50" s="142">
        <f t="shared" ref="BM50" si="16">SUM(BM47:BM49)</f>
        <v>6806.5</v>
      </c>
      <c r="BN50" s="140"/>
    </row>
    <row r="51" spans="1:133" s="158" customFormat="1" hidden="1" x14ac:dyDescent="0.2">
      <c r="A51" s="172" t="s">
        <v>139</v>
      </c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4"/>
      <c r="O51" s="143">
        <f t="shared" ref="O51:AV51" si="17">SUM(O9:O49)</f>
        <v>272</v>
      </c>
      <c r="P51" s="143">
        <f t="shared" si="17"/>
        <v>0</v>
      </c>
      <c r="Q51" s="143">
        <f t="shared" si="17"/>
        <v>0</v>
      </c>
      <c r="R51" s="143">
        <f t="shared" si="17"/>
        <v>0</v>
      </c>
      <c r="S51" s="143">
        <f t="shared" si="17"/>
        <v>0</v>
      </c>
      <c r="T51" s="143">
        <f t="shared" si="17"/>
        <v>0</v>
      </c>
      <c r="U51" s="143">
        <f t="shared" si="17"/>
        <v>40</v>
      </c>
      <c r="V51" s="143">
        <f t="shared" si="17"/>
        <v>16</v>
      </c>
      <c r="W51" s="143">
        <f t="shared" si="17"/>
        <v>8</v>
      </c>
      <c r="X51" s="143">
        <f t="shared" si="17"/>
        <v>8</v>
      </c>
      <c r="Y51" s="143">
        <f t="shared" si="17"/>
        <v>8</v>
      </c>
      <c r="Z51" s="143">
        <f t="shared" si="17"/>
        <v>0</v>
      </c>
      <c r="AA51" s="143">
        <f t="shared" si="17"/>
        <v>0</v>
      </c>
      <c r="AB51" s="143">
        <f t="shared" si="17"/>
        <v>18</v>
      </c>
      <c r="AC51" s="143"/>
      <c r="AD51" s="143">
        <f t="shared" si="17"/>
        <v>16</v>
      </c>
      <c r="AE51" s="143">
        <f t="shared" si="17"/>
        <v>19</v>
      </c>
      <c r="AF51" s="143">
        <f t="shared" si="17"/>
        <v>11</v>
      </c>
      <c r="AG51" s="143">
        <f t="shared" si="17"/>
        <v>0</v>
      </c>
      <c r="AH51" s="143">
        <f t="shared" si="17"/>
        <v>11</v>
      </c>
      <c r="AI51" s="143">
        <f t="shared" si="17"/>
        <v>8</v>
      </c>
      <c r="AJ51" s="143">
        <f t="shared" si="17"/>
        <v>0</v>
      </c>
      <c r="AK51" s="143">
        <f t="shared" si="17"/>
        <v>10</v>
      </c>
      <c r="AL51" s="143">
        <f t="shared" si="17"/>
        <v>3</v>
      </c>
      <c r="AM51" s="143">
        <f t="shared" si="17"/>
        <v>7</v>
      </c>
      <c r="AN51" s="143">
        <f t="shared" si="17"/>
        <v>0</v>
      </c>
      <c r="AO51" s="143">
        <f t="shared" si="17"/>
        <v>8</v>
      </c>
      <c r="AP51" s="143">
        <f t="shared" si="17"/>
        <v>10</v>
      </c>
      <c r="AQ51" s="143">
        <f t="shared" si="17"/>
        <v>11</v>
      </c>
      <c r="AR51" s="143">
        <f t="shared" si="17"/>
        <v>22</v>
      </c>
      <c r="AS51" s="143">
        <f t="shared" si="9"/>
        <v>0</v>
      </c>
      <c r="AT51" s="143">
        <f t="shared" si="17"/>
        <v>16</v>
      </c>
      <c r="AU51" s="143">
        <f t="shared" si="17"/>
        <v>24</v>
      </c>
      <c r="AV51" s="143">
        <f t="shared" si="17"/>
        <v>34</v>
      </c>
      <c r="AW51" s="143"/>
      <c r="AX51" s="143"/>
      <c r="AY51" s="143">
        <f t="shared" si="10"/>
        <v>31</v>
      </c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>
        <f t="shared" si="11"/>
        <v>31</v>
      </c>
      <c r="BK51" s="143">
        <f t="shared" si="12"/>
        <v>0</v>
      </c>
      <c r="BL51" s="143">
        <f t="shared" si="12"/>
        <v>8</v>
      </c>
      <c r="BM51" s="142"/>
      <c r="BN51" s="140"/>
    </row>
    <row r="52" spans="1:133" s="158" customFormat="1" hidden="1" x14ac:dyDescent="0.2">
      <c r="A52" s="171" t="s">
        <v>140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70"/>
      <c r="O52" s="143">
        <f t="shared" ref="O52:AV52" si="18">SUM(O10:O50)</f>
        <v>442</v>
      </c>
      <c r="P52" s="143">
        <f t="shared" si="18"/>
        <v>0</v>
      </c>
      <c r="Q52" s="143">
        <f t="shared" si="18"/>
        <v>0</v>
      </c>
      <c r="R52" s="143">
        <f t="shared" si="18"/>
        <v>0</v>
      </c>
      <c r="S52" s="143">
        <f t="shared" si="18"/>
        <v>0</v>
      </c>
      <c r="T52" s="143">
        <f t="shared" si="18"/>
        <v>0</v>
      </c>
      <c r="U52" s="143">
        <f t="shared" si="18"/>
        <v>65</v>
      </c>
      <c r="V52" s="143">
        <f t="shared" si="18"/>
        <v>26</v>
      </c>
      <c r="W52" s="143">
        <f t="shared" si="18"/>
        <v>13</v>
      </c>
      <c r="X52" s="143">
        <f t="shared" si="18"/>
        <v>13</v>
      </c>
      <c r="Y52" s="143">
        <f t="shared" si="18"/>
        <v>13</v>
      </c>
      <c r="Z52" s="143">
        <f t="shared" si="18"/>
        <v>0</v>
      </c>
      <c r="AA52" s="143">
        <f t="shared" si="18"/>
        <v>0</v>
      </c>
      <c r="AB52" s="143">
        <f t="shared" si="18"/>
        <v>30</v>
      </c>
      <c r="AC52" s="143"/>
      <c r="AD52" s="143">
        <f t="shared" si="18"/>
        <v>26</v>
      </c>
      <c r="AE52" s="143">
        <f t="shared" si="18"/>
        <v>31</v>
      </c>
      <c r="AF52" s="143">
        <f t="shared" si="18"/>
        <v>18</v>
      </c>
      <c r="AG52" s="143">
        <f t="shared" si="18"/>
        <v>0</v>
      </c>
      <c r="AH52" s="143">
        <f t="shared" si="18"/>
        <v>18</v>
      </c>
      <c r="AI52" s="143">
        <f t="shared" si="18"/>
        <v>13</v>
      </c>
      <c r="AJ52" s="143">
        <f t="shared" si="18"/>
        <v>0</v>
      </c>
      <c r="AK52" s="143">
        <f t="shared" si="18"/>
        <v>16</v>
      </c>
      <c r="AL52" s="143">
        <f t="shared" si="18"/>
        <v>5</v>
      </c>
      <c r="AM52" s="143">
        <f t="shared" si="18"/>
        <v>11</v>
      </c>
      <c r="AN52" s="143">
        <f t="shared" si="18"/>
        <v>0</v>
      </c>
      <c r="AO52" s="143">
        <f t="shared" si="18"/>
        <v>12</v>
      </c>
      <c r="AP52" s="143">
        <f t="shared" si="18"/>
        <v>16</v>
      </c>
      <c r="AQ52" s="143">
        <f t="shared" si="18"/>
        <v>18</v>
      </c>
      <c r="AR52" s="143">
        <f t="shared" si="18"/>
        <v>37</v>
      </c>
      <c r="AS52" s="143">
        <f t="shared" si="9"/>
        <v>0</v>
      </c>
      <c r="AT52" s="143">
        <f t="shared" si="18"/>
        <v>26</v>
      </c>
      <c r="AU52" s="143">
        <f t="shared" si="18"/>
        <v>39</v>
      </c>
      <c r="AV52" s="143">
        <f t="shared" si="18"/>
        <v>56</v>
      </c>
      <c r="AW52" s="143"/>
      <c r="AX52" s="143"/>
      <c r="AY52" s="143">
        <f t="shared" si="10"/>
        <v>50</v>
      </c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>
        <f t="shared" si="11"/>
        <v>50</v>
      </c>
      <c r="BK52" s="143">
        <f t="shared" si="12"/>
        <v>0</v>
      </c>
      <c r="BL52" s="143">
        <f t="shared" si="12"/>
        <v>13</v>
      </c>
      <c r="BM52" s="142"/>
      <c r="BN52" s="140"/>
    </row>
    <row r="53" spans="1:133" s="158" customFormat="1" hidden="1" x14ac:dyDescent="0.2">
      <c r="A53" s="171" t="s">
        <v>141</v>
      </c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70"/>
      <c r="O53" s="143">
        <f t="shared" ref="O53:AV53" si="19">SUM(O11:O51)</f>
        <v>714</v>
      </c>
      <c r="P53" s="143">
        <f t="shared" si="19"/>
        <v>0</v>
      </c>
      <c r="Q53" s="143">
        <f t="shared" si="19"/>
        <v>0</v>
      </c>
      <c r="R53" s="143">
        <f t="shared" si="19"/>
        <v>0</v>
      </c>
      <c r="S53" s="143">
        <f t="shared" si="19"/>
        <v>0</v>
      </c>
      <c r="T53" s="143">
        <f t="shared" si="19"/>
        <v>0</v>
      </c>
      <c r="U53" s="143">
        <f t="shared" si="19"/>
        <v>105</v>
      </c>
      <c r="V53" s="143">
        <f t="shared" si="19"/>
        <v>42</v>
      </c>
      <c r="W53" s="143">
        <f t="shared" si="19"/>
        <v>21</v>
      </c>
      <c r="X53" s="143">
        <f t="shared" si="19"/>
        <v>21</v>
      </c>
      <c r="Y53" s="143">
        <f t="shared" si="19"/>
        <v>21</v>
      </c>
      <c r="Z53" s="143">
        <f t="shared" si="19"/>
        <v>0</v>
      </c>
      <c r="AA53" s="143">
        <f t="shared" si="19"/>
        <v>0</v>
      </c>
      <c r="AB53" s="143">
        <f t="shared" si="19"/>
        <v>48</v>
      </c>
      <c r="AC53" s="143"/>
      <c r="AD53" s="143">
        <f t="shared" si="19"/>
        <v>42</v>
      </c>
      <c r="AE53" s="143">
        <f t="shared" si="19"/>
        <v>50</v>
      </c>
      <c r="AF53" s="143">
        <f t="shared" si="19"/>
        <v>29</v>
      </c>
      <c r="AG53" s="143">
        <f t="shared" si="19"/>
        <v>0</v>
      </c>
      <c r="AH53" s="143">
        <f t="shared" si="19"/>
        <v>29</v>
      </c>
      <c r="AI53" s="143">
        <f t="shared" si="19"/>
        <v>21</v>
      </c>
      <c r="AJ53" s="143">
        <f t="shared" si="19"/>
        <v>0</v>
      </c>
      <c r="AK53" s="143">
        <f t="shared" si="19"/>
        <v>26</v>
      </c>
      <c r="AL53" s="143">
        <f t="shared" si="19"/>
        <v>8</v>
      </c>
      <c r="AM53" s="143">
        <f t="shared" si="19"/>
        <v>18</v>
      </c>
      <c r="AN53" s="143">
        <f t="shared" si="19"/>
        <v>0</v>
      </c>
      <c r="AO53" s="143">
        <f t="shared" si="19"/>
        <v>20</v>
      </c>
      <c r="AP53" s="143">
        <f t="shared" si="19"/>
        <v>26</v>
      </c>
      <c r="AQ53" s="143">
        <f t="shared" si="19"/>
        <v>29</v>
      </c>
      <c r="AR53" s="143">
        <f t="shared" si="19"/>
        <v>59</v>
      </c>
      <c r="AS53" s="143">
        <f t="shared" si="9"/>
        <v>0</v>
      </c>
      <c r="AT53" s="143">
        <f t="shared" si="19"/>
        <v>42</v>
      </c>
      <c r="AU53" s="143">
        <f t="shared" si="19"/>
        <v>60</v>
      </c>
      <c r="AV53" s="143">
        <f t="shared" si="19"/>
        <v>90</v>
      </c>
      <c r="AW53" s="143"/>
      <c r="AX53" s="143"/>
      <c r="AY53" s="143">
        <f t="shared" si="10"/>
        <v>81</v>
      </c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>
        <f t="shared" si="11"/>
        <v>81</v>
      </c>
      <c r="BK53" s="143">
        <f t="shared" si="12"/>
        <v>0</v>
      </c>
      <c r="BL53" s="143">
        <f t="shared" si="12"/>
        <v>21</v>
      </c>
      <c r="BM53" s="142"/>
      <c r="BN53" s="140"/>
    </row>
    <row r="54" spans="1:133" s="158" customFormat="1" hidden="1" x14ac:dyDescent="0.2">
      <c r="A54" s="171" t="s">
        <v>142</v>
      </c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70"/>
      <c r="O54" s="143">
        <f t="shared" ref="O54:AV54" si="20">SUM(O12:O52)</f>
        <v>1156</v>
      </c>
      <c r="P54" s="143">
        <f t="shared" si="20"/>
        <v>0</v>
      </c>
      <c r="Q54" s="143">
        <f t="shared" si="20"/>
        <v>0</v>
      </c>
      <c r="R54" s="143">
        <f t="shared" si="20"/>
        <v>0</v>
      </c>
      <c r="S54" s="143">
        <f t="shared" si="20"/>
        <v>0</v>
      </c>
      <c r="T54" s="143">
        <f t="shared" si="20"/>
        <v>0</v>
      </c>
      <c r="U54" s="143">
        <f t="shared" si="20"/>
        <v>170</v>
      </c>
      <c r="V54" s="143">
        <f t="shared" si="20"/>
        <v>68</v>
      </c>
      <c r="W54" s="143">
        <f t="shared" si="20"/>
        <v>34</v>
      </c>
      <c r="X54" s="143">
        <f t="shared" si="20"/>
        <v>34</v>
      </c>
      <c r="Y54" s="143">
        <f t="shared" si="20"/>
        <v>34</v>
      </c>
      <c r="Z54" s="143">
        <f t="shared" si="20"/>
        <v>0</v>
      </c>
      <c r="AA54" s="143">
        <f t="shared" si="20"/>
        <v>0</v>
      </c>
      <c r="AB54" s="143">
        <f t="shared" si="20"/>
        <v>78</v>
      </c>
      <c r="AC54" s="143"/>
      <c r="AD54" s="143">
        <f t="shared" si="20"/>
        <v>68</v>
      </c>
      <c r="AE54" s="143">
        <f t="shared" si="20"/>
        <v>81</v>
      </c>
      <c r="AF54" s="143">
        <f t="shared" si="20"/>
        <v>46</v>
      </c>
      <c r="AG54" s="143">
        <f t="shared" si="20"/>
        <v>0</v>
      </c>
      <c r="AH54" s="143">
        <f t="shared" si="20"/>
        <v>46</v>
      </c>
      <c r="AI54" s="143">
        <f t="shared" si="20"/>
        <v>34</v>
      </c>
      <c r="AJ54" s="143">
        <f t="shared" si="20"/>
        <v>0</v>
      </c>
      <c r="AK54" s="143">
        <f t="shared" si="20"/>
        <v>42</v>
      </c>
      <c r="AL54" s="143">
        <f t="shared" si="20"/>
        <v>13</v>
      </c>
      <c r="AM54" s="143">
        <f t="shared" si="20"/>
        <v>29</v>
      </c>
      <c r="AN54" s="143">
        <f t="shared" si="20"/>
        <v>0</v>
      </c>
      <c r="AO54" s="143">
        <f t="shared" si="20"/>
        <v>32</v>
      </c>
      <c r="AP54" s="143">
        <f t="shared" si="20"/>
        <v>42</v>
      </c>
      <c r="AQ54" s="143">
        <f t="shared" si="20"/>
        <v>47</v>
      </c>
      <c r="AR54" s="143">
        <f t="shared" si="20"/>
        <v>96</v>
      </c>
      <c r="AS54" s="143">
        <f t="shared" si="9"/>
        <v>0</v>
      </c>
      <c r="AT54" s="143">
        <f t="shared" si="20"/>
        <v>68</v>
      </c>
      <c r="AU54" s="143">
        <f t="shared" si="20"/>
        <v>99</v>
      </c>
      <c r="AV54" s="143">
        <f t="shared" si="20"/>
        <v>146</v>
      </c>
      <c r="AW54" s="143"/>
      <c r="AX54" s="143"/>
      <c r="AY54" s="143">
        <f t="shared" si="10"/>
        <v>131</v>
      </c>
      <c r="AZ54" s="143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>
        <f t="shared" si="11"/>
        <v>131</v>
      </c>
      <c r="BK54" s="143">
        <f t="shared" si="12"/>
        <v>0</v>
      </c>
      <c r="BL54" s="143">
        <f t="shared" si="12"/>
        <v>34</v>
      </c>
      <c r="BM54" s="142"/>
      <c r="BN54" s="140"/>
    </row>
    <row r="55" spans="1:133" hidden="1" x14ac:dyDescent="0.2">
      <c r="A55" s="148"/>
      <c r="B55" s="149"/>
      <c r="C55" s="134"/>
      <c r="D55" s="134"/>
      <c r="E55" s="135"/>
      <c r="F55" s="134"/>
      <c r="G55" s="134"/>
      <c r="H55" s="134"/>
      <c r="I55" s="134"/>
      <c r="J55" s="134"/>
      <c r="K55" s="134"/>
      <c r="L55" s="136"/>
      <c r="M55" s="136"/>
      <c r="N55" s="152"/>
      <c r="O55" s="144" t="s">
        <v>37</v>
      </c>
      <c r="P55" s="139" t="s">
        <v>37</v>
      </c>
      <c r="Q55" s="139" t="s">
        <v>37</v>
      </c>
      <c r="R55" s="139" t="s">
        <v>37</v>
      </c>
      <c r="S55" s="139" t="s">
        <v>37</v>
      </c>
      <c r="T55" s="139" t="s">
        <v>37</v>
      </c>
      <c r="U55" s="139" t="s">
        <v>37</v>
      </c>
      <c r="V55" s="139" t="s">
        <v>37</v>
      </c>
      <c r="W55" s="139" t="s">
        <v>37</v>
      </c>
      <c r="X55" s="139" t="s">
        <v>37</v>
      </c>
      <c r="Y55" s="139" t="s">
        <v>37</v>
      </c>
      <c r="Z55" s="139" t="s">
        <v>37</v>
      </c>
      <c r="AA55" s="139" t="s">
        <v>37</v>
      </c>
      <c r="AB55" s="139" t="s">
        <v>37</v>
      </c>
      <c r="AC55" s="139"/>
      <c r="AD55" s="139" t="s">
        <v>37</v>
      </c>
      <c r="AE55" s="139" t="s">
        <v>37</v>
      </c>
      <c r="AF55" s="139" t="s">
        <v>37</v>
      </c>
      <c r="AG55" s="139" t="s">
        <v>37</v>
      </c>
      <c r="AH55" s="139" t="s">
        <v>37</v>
      </c>
      <c r="AI55" s="139" t="s">
        <v>37</v>
      </c>
      <c r="AJ55" s="139" t="s">
        <v>37</v>
      </c>
      <c r="AK55" s="139" t="s">
        <v>37</v>
      </c>
      <c r="AL55" s="139" t="s">
        <v>37</v>
      </c>
      <c r="AM55" s="139" t="s">
        <v>37</v>
      </c>
      <c r="AN55" s="139" t="s">
        <v>37</v>
      </c>
      <c r="AO55" s="139" t="s">
        <v>37</v>
      </c>
      <c r="AP55" s="139" t="s">
        <v>37</v>
      </c>
      <c r="AQ55" s="139" t="s">
        <v>37</v>
      </c>
      <c r="AR55" s="139" t="s">
        <v>37</v>
      </c>
      <c r="AS55" s="139" t="s">
        <v>37</v>
      </c>
      <c r="AT55" s="139" t="s">
        <v>37</v>
      </c>
      <c r="AU55" s="139" t="s">
        <v>37</v>
      </c>
      <c r="AV55" s="139" t="s">
        <v>37</v>
      </c>
      <c r="AW55" s="139"/>
      <c r="AX55" s="139"/>
      <c r="AY55" s="139" t="s">
        <v>37</v>
      </c>
      <c r="AZ55" s="139"/>
      <c r="BA55" s="139"/>
      <c r="BB55" s="139"/>
      <c r="BC55" s="139"/>
      <c r="BD55" s="139"/>
      <c r="BE55" s="139"/>
      <c r="BF55" s="139"/>
      <c r="BG55" s="139"/>
      <c r="BH55" s="139"/>
      <c r="BI55" s="139"/>
      <c r="BJ55" s="139" t="s">
        <v>37</v>
      </c>
      <c r="BK55" s="139" t="s">
        <v>37</v>
      </c>
      <c r="BL55" s="139" t="s">
        <v>37</v>
      </c>
      <c r="BM55" s="139" t="s">
        <v>37</v>
      </c>
      <c r="BN55" s="139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</row>
    <row r="56" spans="1:133" hidden="1" x14ac:dyDescent="0.2">
      <c r="A56" s="155"/>
      <c r="B56" s="156"/>
      <c r="C56" s="117"/>
      <c r="D56" s="117"/>
      <c r="E56" s="137"/>
      <c r="F56" s="117"/>
      <c r="G56" s="117"/>
      <c r="H56" s="117"/>
      <c r="I56" s="117"/>
      <c r="J56" s="117"/>
      <c r="K56" s="117"/>
      <c r="L56" s="138"/>
      <c r="M56" s="138"/>
      <c r="N56" s="157"/>
      <c r="O56" s="144" t="str">
        <f t="shared" ref="O56:AV56" si="21">O2</f>
        <v>FAC</v>
      </c>
      <c r="P56" s="139" t="str">
        <f t="shared" si="21"/>
        <v>Lbe</v>
      </c>
      <c r="Q56" s="139" t="str">
        <f t="shared" si="21"/>
        <v>LB</v>
      </c>
      <c r="R56" s="139" t="str">
        <f t="shared" si="21"/>
        <v>Sca</v>
      </c>
      <c r="S56" s="139" t="str">
        <f t="shared" si="21"/>
        <v>TD</v>
      </c>
      <c r="T56" s="139" t="str">
        <f t="shared" si="21"/>
        <v>WvD</v>
      </c>
      <c r="U56" s="139" t="str">
        <f t="shared" si="21"/>
        <v>CE</v>
      </c>
      <c r="V56" s="139" t="str">
        <f t="shared" si="21"/>
        <v>AF</v>
      </c>
      <c r="W56" s="139" t="str">
        <f t="shared" si="21"/>
        <v>WG</v>
      </c>
      <c r="X56" s="139" t="str">
        <f t="shared" si="21"/>
        <v>TG</v>
      </c>
      <c r="Y56" s="139" t="str">
        <f t="shared" si="21"/>
        <v>RH</v>
      </c>
      <c r="Z56" s="139" t="str">
        <f t="shared" si="21"/>
        <v>CH</v>
      </c>
      <c r="AA56" s="139" t="str">
        <f t="shared" si="21"/>
        <v>KH</v>
      </c>
      <c r="AB56" s="139" t="str">
        <f t="shared" si="21"/>
        <v>MH</v>
      </c>
      <c r="AC56" s="139"/>
      <c r="AD56" s="139" t="str">
        <f t="shared" si="21"/>
        <v>MK</v>
      </c>
      <c r="AE56" s="139" t="str">
        <f t="shared" si="21"/>
        <v>VL</v>
      </c>
      <c r="AF56" s="139" t="str">
        <f t="shared" si="21"/>
        <v>EM</v>
      </c>
      <c r="AG56" s="139" t="str">
        <f t="shared" si="21"/>
        <v>DM</v>
      </c>
      <c r="AH56" s="139" t="str">
        <f t="shared" si="21"/>
        <v>JM</v>
      </c>
      <c r="AI56" s="139" t="str">
        <f t="shared" si="21"/>
        <v>UM</v>
      </c>
      <c r="AJ56" s="139" t="str">
        <f t="shared" si="21"/>
        <v>AO</v>
      </c>
      <c r="AK56" s="139" t="str">
        <f t="shared" si="21"/>
        <v>JvP</v>
      </c>
      <c r="AL56" s="139" t="str">
        <f t="shared" si="21"/>
        <v>CR</v>
      </c>
      <c r="AM56" s="139" t="str">
        <f t="shared" si="21"/>
        <v>IR</v>
      </c>
      <c r="AN56" s="139" t="str">
        <f t="shared" si="21"/>
        <v>JS</v>
      </c>
      <c r="AO56" s="139" t="str">
        <f t="shared" si="21"/>
        <v>BS</v>
      </c>
      <c r="AP56" s="139" t="str">
        <f t="shared" si="21"/>
        <v>MS</v>
      </c>
      <c r="AQ56" s="139" t="str">
        <f t="shared" si="21"/>
        <v>PV</v>
      </c>
      <c r="AR56" s="139" t="str">
        <f t="shared" si="21"/>
        <v>DV</v>
      </c>
      <c r="AS56" s="139" t="str">
        <f t="shared" si="21"/>
        <v>JW</v>
      </c>
      <c r="AT56" s="139" t="str">
        <f t="shared" si="21"/>
        <v>AW</v>
      </c>
      <c r="AU56" s="139" t="str">
        <f t="shared" si="21"/>
        <v>CYPL</v>
      </c>
      <c r="AV56" s="139" t="str">
        <f t="shared" si="21"/>
        <v>JB/OBP</v>
      </c>
      <c r="AW56" s="139"/>
      <c r="AX56" s="139"/>
      <c r="AY56" s="139" t="str">
        <f>AY2</f>
        <v>XT/D4</v>
      </c>
      <c r="AZ56" s="139"/>
      <c r="BA56" s="139"/>
      <c r="BB56" s="139"/>
      <c r="BC56" s="139"/>
      <c r="BD56" s="139"/>
      <c r="BE56" s="139"/>
      <c r="BF56" s="139"/>
      <c r="BG56" s="139"/>
      <c r="BH56" s="139"/>
      <c r="BI56" s="139"/>
      <c r="BJ56" s="139" t="str">
        <f>BJ2</f>
        <v>KK/D4</v>
      </c>
      <c r="BK56" s="139" t="str">
        <f>BK2</f>
        <v>JvZ/D4</v>
      </c>
      <c r="BL56" s="139" t="str">
        <f>BL2</f>
        <v>WOS/OBP</v>
      </c>
      <c r="BM56" s="139" t="str">
        <f>BM2</f>
        <v>Total</v>
      </c>
      <c r="BN56" s="139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</row>
    <row r="57" spans="1:133" hidden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</row>
    <row r="58" spans="1:133" hidden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</row>
    <row r="59" spans="1:133" ht="13.2" hidden="1" x14ac:dyDescent="0.25">
      <c r="I59" s="102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</row>
    <row r="60" spans="1:133" ht="13.2" x14ac:dyDescent="0.25">
      <c r="A60" s="103" t="s">
        <v>27</v>
      </c>
      <c r="I60" s="102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</row>
    <row r="61" spans="1:133" ht="13.2" x14ac:dyDescent="0.25">
      <c r="A61" s="104" t="s">
        <v>0</v>
      </c>
      <c r="I61" s="102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</row>
    <row r="62" spans="1:133" ht="13.2" x14ac:dyDescent="0.25">
      <c r="A62" s="105" t="s">
        <v>28</v>
      </c>
      <c r="I62" s="102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</row>
    <row r="63" spans="1:133" ht="13.2" x14ac:dyDescent="0.25">
      <c r="A63" s="6"/>
      <c r="B63" s="6"/>
      <c r="C63" s="6"/>
      <c r="D63" s="6"/>
      <c r="E63" s="6"/>
      <c r="F63" s="6"/>
      <c r="G63" s="6"/>
      <c r="H63" s="6"/>
      <c r="I63" s="102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</row>
  </sheetData>
  <autoFilter ref="A3:EC44">
    <sortState ref="A4:EC44">
      <sortCondition ref="A3:A44"/>
    </sortState>
  </autoFilter>
  <sortState ref="A4:BO44">
    <sortCondition sortBy="cellColor" ref="A4" dxfId="38"/>
  </sortState>
  <mergeCells count="1">
    <mergeCell ref="AV1:BL1"/>
  </mergeCells>
  <phoneticPr fontId="4" type="noConversion"/>
  <conditionalFormatting sqref="BP6:BP7 BO5:BO11 BO12:BP12 BO22:BP22 BO23:BO30 BO31:BP31 BO32:BO37 BO38:BP38 BO39:BO42 BO43:BP43 BO13:BO21 BO44">
    <cfRule type="containsText" dxfId="37" priority="9" operator="containsText" text="Oke">
      <formula>NOT(ISERROR(SEARCH("Oke",BO5)))</formula>
    </cfRule>
    <cfRule type="containsText" dxfId="36" priority="10" operator="containsText" text="Problem">
      <formula>NOT(ISERROR(SEARCH("Problem",BO5)))</formula>
    </cfRule>
  </conditionalFormatting>
  <conditionalFormatting sqref="BP5">
    <cfRule type="containsText" dxfId="35" priority="7" operator="containsText" text="Oke">
      <formula>NOT(ISERROR(SEARCH("Oke",BP5)))</formula>
    </cfRule>
    <cfRule type="containsText" dxfId="34" priority="8" operator="containsText" text="Problem">
      <formula>NOT(ISERROR(SEARCH("Problem",BP5)))</formula>
    </cfRule>
  </conditionalFormatting>
  <conditionalFormatting sqref="BP14">
    <cfRule type="containsText" dxfId="33" priority="5" operator="containsText" text="Oke">
      <formula>NOT(ISERROR(SEARCH("Oke",BP14)))</formula>
    </cfRule>
    <cfRule type="containsText" dxfId="32" priority="6" operator="containsText" text="Problem">
      <formula>NOT(ISERROR(SEARCH("Problem",BP14)))</formula>
    </cfRule>
  </conditionalFormatting>
  <conditionalFormatting sqref="BP27">
    <cfRule type="containsText" dxfId="31" priority="1" operator="containsText" text="Oke">
      <formula>NOT(ISERROR(SEARCH("Oke",BP27)))</formula>
    </cfRule>
    <cfRule type="containsText" dxfId="30" priority="2" operator="containsText" text="Problem">
      <formula>NOT(ISERROR(SEARCH("Problem",BP27)))</formula>
    </cfRule>
  </conditionalFormatting>
  <pageMargins left="0.19685039370078741" right="0.19685039370078741" top="0.47244094488188981" bottom="0.98425196850393704" header="0.51181102362204722" footer="0.51181102362204722"/>
  <pageSetup paperSize="9" scale="40" fitToHeight="2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BY73"/>
  <sheetViews>
    <sheetView topLeftCell="A28" zoomScale="106" zoomScaleNormal="106" workbookViewId="0">
      <pane xSplit="4" topLeftCell="N1" activePane="topRight" state="frozen"/>
      <selection activeCell="AZ2" sqref="AZ2"/>
      <selection pane="topRight" activeCell="AI9" sqref="AI9"/>
    </sheetView>
  </sheetViews>
  <sheetFormatPr defaultColWidth="8.88671875" defaultRowHeight="10.199999999999999" x14ac:dyDescent="0.2"/>
  <cols>
    <col min="1" max="1" width="9.5546875" style="1" customWidth="1"/>
    <col min="2" max="2" width="50.109375" style="128" bestFit="1" customWidth="1"/>
    <col min="3" max="3" width="10.88671875" style="1" bestFit="1" customWidth="1"/>
    <col min="4" max="4" width="29.6640625" style="1" bestFit="1" customWidth="1"/>
    <col min="5" max="5" width="4.88671875" style="2" bestFit="1" customWidth="1"/>
    <col min="6" max="6" width="4.44140625" style="1" customWidth="1"/>
    <col min="7" max="7" width="4.88671875" style="1" customWidth="1"/>
    <col min="8" max="8" width="6.44140625" style="1" customWidth="1"/>
    <col min="9" max="9" width="4.88671875" style="1" customWidth="1"/>
    <col min="10" max="10" width="4.5546875" style="1" customWidth="1"/>
    <col min="11" max="11" width="6.44140625" style="1" customWidth="1"/>
    <col min="12" max="13" width="8.44140625" style="3" customWidth="1"/>
    <col min="14" max="14" width="8.109375" style="1" customWidth="1"/>
    <col min="15" max="15" width="4.5546875" style="4" customWidth="1"/>
    <col min="16" max="16" width="4.33203125" style="4" customWidth="1"/>
    <col min="17" max="17" width="6.88671875" style="4" bestFit="1" customWidth="1"/>
    <col min="18" max="18" width="4.33203125" style="4" customWidth="1"/>
    <col min="19" max="19" width="3.44140625" style="4" customWidth="1"/>
    <col min="20" max="20" width="5.109375" style="4" customWidth="1"/>
    <col min="21" max="21" width="3.33203125" style="4" customWidth="1"/>
    <col min="22" max="22" width="3.44140625" style="4" customWidth="1"/>
    <col min="23" max="23" width="4" style="4" customWidth="1"/>
    <col min="24" max="26" width="3.44140625" style="4" customWidth="1"/>
    <col min="27" max="27" width="3.44140625" style="5" customWidth="1"/>
    <col min="28" max="28" width="3.6640625" style="4" customWidth="1"/>
    <col min="29" max="29" width="3.5546875" style="4" customWidth="1"/>
    <col min="30" max="30" width="3.109375" style="4" customWidth="1"/>
    <col min="31" max="31" width="3.5546875" style="4" customWidth="1"/>
    <col min="32" max="32" width="3.6640625" style="4" customWidth="1"/>
    <col min="33" max="33" width="3.33203125" style="4" customWidth="1"/>
    <col min="34" max="35" width="5.33203125" style="4" customWidth="1"/>
    <col min="36" max="36" width="3.5546875" style="4" customWidth="1"/>
    <col min="37" max="37" width="4.109375" style="4" customWidth="1"/>
    <col min="38" max="38" width="3.44140625" style="4" customWidth="1"/>
    <col min="39" max="39" width="3" style="4" customWidth="1"/>
    <col min="40" max="40" width="3" style="5" customWidth="1"/>
    <col min="41" max="41" width="3.33203125" style="5" customWidth="1"/>
    <col min="42" max="42" width="3.5546875" style="5" customWidth="1"/>
    <col min="43" max="43" width="4.44140625" style="5" bestFit="1" customWidth="1"/>
    <col min="44" max="44" width="3.44140625" style="5" customWidth="1"/>
    <col min="45" max="45" width="3.5546875" style="4" customWidth="1"/>
    <col min="46" max="46" width="4" style="4" bestFit="1" customWidth="1"/>
    <col min="47" max="47" width="5.44140625" style="4" bestFit="1" customWidth="1"/>
    <col min="48" max="48" width="7.6640625" style="5" bestFit="1" customWidth="1"/>
    <col min="49" max="49" width="6.88671875" style="5" bestFit="1" customWidth="1"/>
    <col min="50" max="50" width="8" style="5" bestFit="1" customWidth="1"/>
    <col min="51" max="51" width="6.6640625" style="5" bestFit="1" customWidth="1"/>
    <col min="52" max="52" width="8" style="5" bestFit="1" customWidth="1"/>
    <col min="53" max="53" width="8" style="5" customWidth="1"/>
    <col min="54" max="54" width="8.5546875" style="5" bestFit="1" customWidth="1"/>
    <col min="55" max="55" width="6.6640625" style="5" bestFit="1" customWidth="1"/>
    <col min="56" max="57" width="7.5546875" style="5" bestFit="1" customWidth="1"/>
    <col min="58" max="58" width="6.88671875" style="5" bestFit="1" customWidth="1"/>
    <col min="59" max="59" width="8.109375" style="5" bestFit="1" customWidth="1"/>
    <col min="60" max="60" width="7.44140625" style="5" bestFit="1" customWidth="1"/>
    <col min="61" max="61" width="6.88671875" style="5" bestFit="1" customWidth="1"/>
    <col min="62" max="62" width="8" style="5" bestFit="1" customWidth="1"/>
    <col min="63" max="63" width="7.6640625" style="5" bestFit="1" customWidth="1"/>
    <col min="64" max="64" width="9.88671875" style="5" bestFit="1" customWidth="1"/>
    <col min="65" max="65" width="6.44140625" style="5" customWidth="1"/>
    <col min="66" max="66" width="10.44140625" style="4" customWidth="1"/>
    <col min="67" max="77" width="8.88671875" style="21" customWidth="1"/>
    <col min="78" max="16384" width="8.88671875" style="6"/>
  </cols>
  <sheetData>
    <row r="1" spans="1:77" ht="12.75" customHeight="1" thickBot="1" x14ac:dyDescent="0.35">
      <c r="A1" s="7" t="s">
        <v>31</v>
      </c>
      <c r="B1" s="129"/>
      <c r="C1" s="8"/>
      <c r="D1" s="8"/>
      <c r="E1" s="9"/>
      <c r="F1" s="8"/>
      <c r="G1" s="8"/>
      <c r="H1" s="10"/>
      <c r="I1" s="77"/>
      <c r="J1" s="81"/>
      <c r="K1" s="11" t="s">
        <v>16</v>
      </c>
      <c r="L1" s="11"/>
      <c r="M1" s="11"/>
      <c r="N1" s="12"/>
      <c r="O1" s="230"/>
      <c r="P1" s="264"/>
      <c r="Q1" s="255"/>
      <c r="R1" s="255"/>
      <c r="S1" s="255"/>
      <c r="T1" s="193"/>
      <c r="U1" s="193"/>
      <c r="V1" s="193"/>
      <c r="W1" s="255"/>
      <c r="X1" s="193"/>
      <c r="Y1" s="255"/>
      <c r="Z1" s="255"/>
      <c r="AA1" s="255"/>
      <c r="AB1" s="255"/>
      <c r="AC1" s="193"/>
      <c r="AD1" s="193"/>
      <c r="AE1" s="193"/>
      <c r="AF1" s="193"/>
      <c r="AG1" s="193"/>
      <c r="AH1" s="255"/>
      <c r="AI1" s="255"/>
      <c r="AJ1" s="133"/>
      <c r="AK1" s="193"/>
      <c r="AL1" s="193"/>
      <c r="AM1" s="255"/>
      <c r="AN1" s="193"/>
      <c r="AO1" s="193"/>
      <c r="AP1" s="255"/>
      <c r="AQ1" s="255"/>
      <c r="AR1" s="193"/>
      <c r="AS1" s="255"/>
      <c r="AT1" s="193"/>
      <c r="AU1" s="193" t="s">
        <v>694</v>
      </c>
      <c r="AV1" s="329" t="s">
        <v>694</v>
      </c>
      <c r="AW1" s="330"/>
      <c r="AX1" s="330"/>
      <c r="AY1" s="330"/>
      <c r="AZ1" s="330"/>
      <c r="BA1" s="330"/>
      <c r="BB1" s="330"/>
      <c r="BC1" s="330"/>
      <c r="BD1" s="330"/>
      <c r="BE1" s="330"/>
      <c r="BF1" s="330"/>
      <c r="BG1" s="330"/>
      <c r="BH1" s="330"/>
      <c r="BI1" s="330"/>
      <c r="BJ1" s="330"/>
      <c r="BK1" s="330"/>
      <c r="BL1" s="331"/>
      <c r="BM1" s="184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</row>
    <row r="2" spans="1:77" ht="30.6" x14ac:dyDescent="0.2">
      <c r="A2" s="13" t="s">
        <v>82</v>
      </c>
      <c r="B2" s="130" t="s">
        <v>83</v>
      </c>
      <c r="C2" s="14" t="s">
        <v>611</v>
      </c>
      <c r="D2" s="14" t="s">
        <v>84</v>
      </c>
      <c r="E2" s="82" t="s">
        <v>32</v>
      </c>
      <c r="F2" s="16" t="s">
        <v>33</v>
      </c>
      <c r="G2" s="16" t="s">
        <v>33</v>
      </c>
      <c r="H2" s="17" t="s">
        <v>74</v>
      </c>
      <c r="I2" s="78" t="s">
        <v>55</v>
      </c>
      <c r="J2" s="164" t="s">
        <v>56</v>
      </c>
      <c r="K2" s="165" t="s">
        <v>43</v>
      </c>
      <c r="L2" s="166" t="s">
        <v>136</v>
      </c>
      <c r="M2" s="167" t="s">
        <v>137</v>
      </c>
      <c r="N2" s="168" t="s">
        <v>86</v>
      </c>
      <c r="O2" s="20" t="s">
        <v>79</v>
      </c>
      <c r="P2" s="16" t="s">
        <v>152</v>
      </c>
      <c r="Q2" s="16" t="s">
        <v>69</v>
      </c>
      <c r="R2" s="73" t="s">
        <v>145</v>
      </c>
      <c r="S2" s="16" t="s">
        <v>13</v>
      </c>
      <c r="T2" s="192" t="s">
        <v>14</v>
      </c>
      <c r="U2" s="16" t="s">
        <v>102</v>
      </c>
      <c r="V2" s="73" t="s">
        <v>129</v>
      </c>
      <c r="W2" s="16" t="s">
        <v>12</v>
      </c>
      <c r="X2" s="218" t="s">
        <v>33</v>
      </c>
      <c r="Y2" s="16" t="s">
        <v>76</v>
      </c>
      <c r="Z2" s="16" t="s">
        <v>146</v>
      </c>
      <c r="AA2" s="16" t="s">
        <v>63</v>
      </c>
      <c r="AB2" s="16" t="s">
        <v>78</v>
      </c>
      <c r="AC2" s="73" t="s">
        <v>133</v>
      </c>
      <c r="AD2" s="218" t="s">
        <v>128</v>
      </c>
      <c r="AE2" s="218" t="s">
        <v>156</v>
      </c>
      <c r="AF2" s="312" t="s">
        <v>158</v>
      </c>
      <c r="AG2" s="16" t="s">
        <v>70</v>
      </c>
      <c r="AH2" s="16" t="s">
        <v>77</v>
      </c>
      <c r="AI2" s="292" t="s">
        <v>715</v>
      </c>
      <c r="AJ2" s="73" t="s">
        <v>157</v>
      </c>
      <c r="AK2" s="73" t="s">
        <v>149</v>
      </c>
      <c r="AL2" s="73" t="s">
        <v>80</v>
      </c>
      <c r="AM2" s="16" t="s">
        <v>100</v>
      </c>
      <c r="AN2" s="218" t="s">
        <v>29</v>
      </c>
      <c r="AO2" s="16" t="s">
        <v>62</v>
      </c>
      <c r="AP2" s="16" t="s">
        <v>35</v>
      </c>
      <c r="AQ2" s="16" t="s">
        <v>75</v>
      </c>
      <c r="AR2" s="16" t="s">
        <v>127</v>
      </c>
      <c r="AS2" s="218" t="s">
        <v>147</v>
      </c>
      <c r="AT2" s="73" t="s">
        <v>101</v>
      </c>
      <c r="AU2" s="73" t="s">
        <v>148</v>
      </c>
      <c r="AV2" s="210" t="s">
        <v>679</v>
      </c>
      <c r="AW2" s="210" t="s">
        <v>680</v>
      </c>
      <c r="AX2" s="210" t="s">
        <v>681</v>
      </c>
      <c r="AY2" s="210" t="s">
        <v>722</v>
      </c>
      <c r="AZ2" s="315" t="s">
        <v>682</v>
      </c>
      <c r="BA2" s="210" t="s">
        <v>707</v>
      </c>
      <c r="BB2" s="210" t="s">
        <v>716</v>
      </c>
      <c r="BC2" s="127" t="s">
        <v>683</v>
      </c>
      <c r="BD2" s="210" t="s">
        <v>684</v>
      </c>
      <c r="BE2" s="210" t="s">
        <v>685</v>
      </c>
      <c r="BF2" s="315" t="s">
        <v>686</v>
      </c>
      <c r="BG2" s="210" t="s">
        <v>687</v>
      </c>
      <c r="BH2" s="210" t="s">
        <v>688</v>
      </c>
      <c r="BI2" s="127" t="s">
        <v>689</v>
      </c>
      <c r="BJ2" s="263" t="s">
        <v>708</v>
      </c>
      <c r="BK2" s="161" t="s">
        <v>690</v>
      </c>
      <c r="BL2" s="212" t="s">
        <v>691</v>
      </c>
      <c r="BM2" s="187" t="s">
        <v>81</v>
      </c>
      <c r="BN2" s="185" t="s">
        <v>34</v>
      </c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</row>
    <row r="3" spans="1:77" x14ac:dyDescent="0.2">
      <c r="A3" s="22"/>
      <c r="B3" s="131"/>
      <c r="C3" s="23"/>
      <c r="D3" s="23"/>
      <c r="E3" s="15"/>
      <c r="F3" s="16"/>
      <c r="G3" s="16"/>
      <c r="H3" s="17"/>
      <c r="I3" s="78"/>
      <c r="J3" s="82"/>
      <c r="K3" s="80"/>
      <c r="L3" s="18"/>
      <c r="M3" s="163"/>
      <c r="N3" s="19"/>
      <c r="O3" s="20"/>
      <c r="P3" s="20"/>
      <c r="Q3" s="20"/>
      <c r="R3" s="20"/>
      <c r="S3" s="20"/>
      <c r="T3" s="16"/>
      <c r="U3" s="16"/>
      <c r="V3" s="192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92"/>
      <c r="AS3" s="16"/>
      <c r="AT3" s="16"/>
      <c r="AU3" s="16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263"/>
      <c r="BK3" s="161"/>
      <c r="BL3" s="127"/>
      <c r="BM3" s="188"/>
      <c r="BN3" s="185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</row>
    <row r="4" spans="1:77" x14ac:dyDescent="0.2">
      <c r="A4" s="296" t="s">
        <v>275</v>
      </c>
      <c r="B4" s="297" t="s">
        <v>273</v>
      </c>
      <c r="C4" s="298" t="s">
        <v>27</v>
      </c>
      <c r="D4" s="298" t="s">
        <v>710</v>
      </c>
      <c r="E4" s="268"/>
      <c r="F4" s="24">
        <f>E4/12</f>
        <v>0</v>
      </c>
      <c r="G4" s="249"/>
      <c r="H4" s="101">
        <f t="shared" ref="H4:H52" si="0">IF(G4=0,0,E4/G4)</f>
        <v>0</v>
      </c>
      <c r="I4" s="271"/>
      <c r="J4" s="272"/>
      <c r="K4" s="273"/>
      <c r="L4" s="274"/>
      <c r="M4" s="275"/>
      <c r="N4" s="275"/>
      <c r="O4" s="276"/>
      <c r="P4" s="305" t="s">
        <v>696</v>
      </c>
      <c r="Q4" s="276"/>
      <c r="R4" s="281"/>
      <c r="S4" s="276"/>
      <c r="T4" s="282">
        <v>1</v>
      </c>
      <c r="U4" s="285"/>
      <c r="V4" s="211"/>
      <c r="W4" s="285"/>
      <c r="X4" s="282" t="s">
        <v>696</v>
      </c>
      <c r="Y4" s="283" t="s">
        <v>699</v>
      </c>
      <c r="Z4" s="211"/>
      <c r="AA4" s="211"/>
      <c r="AB4" s="211"/>
      <c r="AC4" s="211"/>
      <c r="AD4" s="282">
        <v>1</v>
      </c>
      <c r="AE4" s="282" t="s">
        <v>696</v>
      </c>
      <c r="AF4" s="211"/>
      <c r="AG4" s="282">
        <v>1</v>
      </c>
      <c r="AH4" s="211"/>
      <c r="AI4" s="211"/>
      <c r="AJ4" s="211"/>
      <c r="AK4" s="211"/>
      <c r="AL4" s="282">
        <v>1</v>
      </c>
      <c r="AM4" s="211"/>
      <c r="AN4" s="282" t="s">
        <v>696</v>
      </c>
      <c r="AO4" s="211"/>
      <c r="AP4" s="211"/>
      <c r="AQ4" s="211"/>
      <c r="AR4" s="282" t="s">
        <v>696</v>
      </c>
      <c r="AS4" s="283" t="s">
        <v>696</v>
      </c>
      <c r="AT4" s="282" t="s">
        <v>696</v>
      </c>
      <c r="AU4" s="282">
        <v>1</v>
      </c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80"/>
      <c r="BK4" s="307"/>
      <c r="BL4" s="279"/>
      <c r="BM4" s="277"/>
      <c r="BN4" s="277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</row>
    <row r="5" spans="1:77" ht="12.75" customHeight="1" x14ac:dyDescent="0.3">
      <c r="A5" s="294" t="s">
        <v>276</v>
      </c>
      <c r="B5" s="294" t="s">
        <v>277</v>
      </c>
      <c r="C5" s="294" t="s">
        <v>27</v>
      </c>
      <c r="D5" s="294" t="s">
        <v>617</v>
      </c>
      <c r="E5" s="208"/>
      <c r="F5" s="24">
        <f>E5/12</f>
        <v>0</v>
      </c>
      <c r="G5" s="249"/>
      <c r="H5" s="101">
        <f t="shared" si="0"/>
        <v>0</v>
      </c>
      <c r="I5" s="79"/>
      <c r="J5" s="226">
        <f>I5*2*normuren!$B$26</f>
        <v>0</v>
      </c>
      <c r="K5" s="227">
        <f>IF(G5&lt;3,normuren!$B$8,IF(AND(G5&lt;6,G5&gt;2),normuren!$B$9,IF(AND(G5&lt;9,G5&gt;5),normuren!$B$10,normuren!$B$11)))</f>
        <v>15</v>
      </c>
      <c r="L5" s="228">
        <f>normuren!$B$24*2*12</f>
        <v>36</v>
      </c>
      <c r="M5" s="228">
        <f>normuren!$B$25*2*12</f>
        <v>45.599999999999994</v>
      </c>
      <c r="N5" s="250">
        <f>normuren!$B$29</f>
        <v>1.5</v>
      </c>
      <c r="O5" s="115" t="s">
        <v>696</v>
      </c>
      <c r="P5" s="266"/>
      <c r="Q5" s="211"/>
      <c r="R5" s="266"/>
      <c r="S5" s="119"/>
      <c r="T5" s="119"/>
      <c r="U5" s="286"/>
      <c r="V5" s="115"/>
      <c r="W5" s="286"/>
      <c r="X5" s="288" t="s">
        <v>696</v>
      </c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286"/>
      <c r="AO5" s="115"/>
      <c r="AP5" s="115"/>
      <c r="AQ5" s="288">
        <v>1</v>
      </c>
      <c r="AR5" s="286"/>
      <c r="AS5" s="115"/>
      <c r="AT5" s="115"/>
      <c r="AU5" s="115"/>
      <c r="AV5" s="115"/>
      <c r="AW5" s="115"/>
      <c r="AX5" s="288" t="s">
        <v>696</v>
      </c>
      <c r="AY5" s="115"/>
      <c r="AZ5" s="115"/>
      <c r="BA5" s="115"/>
      <c r="BB5" s="115"/>
      <c r="BC5" s="288">
        <v>3</v>
      </c>
      <c r="BD5" s="115"/>
      <c r="BE5" s="115"/>
      <c r="BF5" s="115"/>
      <c r="BG5" s="115"/>
      <c r="BH5" s="115"/>
      <c r="BI5" s="115"/>
      <c r="BJ5" s="115"/>
      <c r="BK5" s="286"/>
      <c r="BL5" s="115"/>
      <c r="BM5" s="223">
        <f t="shared" ref="BM5:BM52" si="1">SUM(O5:BL5)</f>
        <v>4</v>
      </c>
      <c r="BN5" s="224">
        <f t="shared" ref="BN5:BN52" si="2">G5-BM5</f>
        <v>-4</v>
      </c>
      <c r="BO5" s="209" t="str">
        <f t="shared" ref="BO5:BO52" si="3">IF(BN5&gt;0,"Problem","Oke")</f>
        <v>Oke</v>
      </c>
      <c r="BP5" s="209" t="s">
        <v>723</v>
      </c>
      <c r="BQ5" s="6"/>
      <c r="BR5" s="6"/>
      <c r="BS5" s="6"/>
      <c r="BT5" s="6"/>
      <c r="BU5" s="6"/>
      <c r="BV5" s="6"/>
      <c r="BW5" s="6"/>
      <c r="BX5" s="6"/>
      <c r="BY5" s="6"/>
    </row>
    <row r="6" spans="1:77" ht="12.75" customHeight="1" x14ac:dyDescent="0.3">
      <c r="A6" s="203" t="s">
        <v>278</v>
      </c>
      <c r="B6" s="203" t="s">
        <v>279</v>
      </c>
      <c r="C6" s="203" t="s">
        <v>245</v>
      </c>
      <c r="D6" s="203" t="s">
        <v>664</v>
      </c>
      <c r="E6" s="208"/>
      <c r="F6" s="24">
        <f>$E6/12</f>
        <v>0</v>
      </c>
      <c r="G6" s="249">
        <f>ROUNDUP(F6,0)</f>
        <v>0</v>
      </c>
      <c r="H6" s="101">
        <f t="shared" si="0"/>
        <v>0</v>
      </c>
      <c r="I6" s="79"/>
      <c r="J6" s="226">
        <f>I6*2*normuren!$B$26</f>
        <v>0</v>
      </c>
      <c r="K6" s="227">
        <f>IF(G6&lt;3,normuren!$B$8,IF(AND(G6&lt;6,G6&gt;2),normuren!$B$9,IF(AND(G6&lt;9,G6&gt;5),normuren!$B$10,normuren!$B$11)))</f>
        <v>15</v>
      </c>
      <c r="L6" s="228">
        <f>normuren!$B$27</f>
        <v>20</v>
      </c>
      <c r="M6" s="228">
        <v>20</v>
      </c>
      <c r="N6" s="250">
        <f>normuren!$B$29</f>
        <v>1.5</v>
      </c>
      <c r="O6" s="115" t="s">
        <v>696</v>
      </c>
      <c r="P6" s="285"/>
      <c r="Q6" s="115"/>
      <c r="R6" s="266"/>
      <c r="S6" s="119"/>
      <c r="T6" s="119"/>
      <c r="U6" s="286"/>
      <c r="V6" s="115"/>
      <c r="W6" s="286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286"/>
      <c r="AO6" s="115"/>
      <c r="AP6" s="115"/>
      <c r="AQ6" s="115"/>
      <c r="AR6" s="286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286"/>
      <c r="BL6" s="115"/>
      <c r="BM6" s="223">
        <f t="shared" si="1"/>
        <v>0</v>
      </c>
      <c r="BN6" s="224">
        <f t="shared" si="2"/>
        <v>0</v>
      </c>
      <c r="BO6" s="209" t="str">
        <f t="shared" si="3"/>
        <v>Oke</v>
      </c>
      <c r="BP6" s="311" t="s">
        <v>713</v>
      </c>
      <c r="BQ6" s="6"/>
      <c r="BR6" s="6"/>
      <c r="BS6" s="6"/>
      <c r="BT6" s="6"/>
      <c r="BU6" s="6"/>
      <c r="BV6" s="6"/>
      <c r="BW6" s="6"/>
      <c r="BX6" s="6"/>
      <c r="BY6" s="6"/>
    </row>
    <row r="7" spans="1:77" ht="12.75" customHeight="1" x14ac:dyDescent="0.3">
      <c r="A7" s="203" t="s">
        <v>280</v>
      </c>
      <c r="B7" s="203" t="s">
        <v>281</v>
      </c>
      <c r="C7" s="203" t="s">
        <v>249</v>
      </c>
      <c r="D7" s="203" t="s">
        <v>334</v>
      </c>
      <c r="E7" s="208"/>
      <c r="F7" s="24">
        <f t="shared" ref="F7:F28" si="4">E7/12</f>
        <v>0</v>
      </c>
      <c r="G7" s="249">
        <f t="shared" ref="G7:G37" si="5">ROUNDUP(F7,0)</f>
        <v>0</v>
      </c>
      <c r="H7" s="101">
        <f t="shared" si="0"/>
        <v>0</v>
      </c>
      <c r="I7" s="79"/>
      <c r="J7" s="226">
        <f>I7*2*normuren!$B$26</f>
        <v>0</v>
      </c>
      <c r="K7" s="227">
        <f>IF(G7&lt;3,normuren!$B$8,IF(AND(G7&lt;6,G7&gt;2),normuren!$B$9,IF(AND(G7&lt;9,G7&gt;5),normuren!$B$10,normuren!$B$11)))</f>
        <v>15</v>
      </c>
      <c r="L7" s="228">
        <f>normuren!$B$24*2*12</f>
        <v>36</v>
      </c>
      <c r="M7" s="228">
        <f>normuren!$B$25*2*12</f>
        <v>45.599999999999994</v>
      </c>
      <c r="N7" s="250">
        <f>normuren!$B$29</f>
        <v>1.5</v>
      </c>
      <c r="O7" s="115"/>
      <c r="P7" s="286"/>
      <c r="Q7" s="119"/>
      <c r="R7" s="266"/>
      <c r="S7" s="119"/>
      <c r="T7" s="119"/>
      <c r="U7" s="286"/>
      <c r="V7" s="115"/>
      <c r="W7" s="286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286"/>
      <c r="AO7" s="115"/>
      <c r="AP7" s="220"/>
      <c r="AQ7" s="115"/>
      <c r="AR7" s="286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286"/>
      <c r="BL7" s="115"/>
      <c r="BM7" s="223">
        <f t="shared" si="1"/>
        <v>0</v>
      </c>
      <c r="BN7" s="224">
        <f t="shared" si="2"/>
        <v>0</v>
      </c>
      <c r="BO7" s="209" t="str">
        <f t="shared" si="3"/>
        <v>Oke</v>
      </c>
      <c r="BP7" s="6"/>
      <c r="BQ7" s="6"/>
      <c r="BR7" s="6"/>
      <c r="BS7" s="6"/>
      <c r="BT7" s="6"/>
      <c r="BU7" s="6"/>
      <c r="BV7" s="6"/>
      <c r="BW7" s="6"/>
      <c r="BX7" s="6"/>
      <c r="BY7" s="6"/>
    </row>
    <row r="8" spans="1:77" ht="12.75" customHeight="1" x14ac:dyDescent="0.3">
      <c r="A8" s="294" t="s">
        <v>282</v>
      </c>
      <c r="B8" s="294" t="s">
        <v>283</v>
      </c>
      <c r="C8" s="294" t="s">
        <v>27</v>
      </c>
      <c r="D8" s="294" t="s">
        <v>161</v>
      </c>
      <c r="E8" s="208"/>
      <c r="F8" s="24">
        <f t="shared" si="4"/>
        <v>0</v>
      </c>
      <c r="G8" s="249">
        <f t="shared" si="5"/>
        <v>0</v>
      </c>
      <c r="H8" s="101">
        <f t="shared" si="0"/>
        <v>0</v>
      </c>
      <c r="I8" s="79"/>
      <c r="J8" s="226">
        <f>I8*2*normuren!$B$26</f>
        <v>0</v>
      </c>
      <c r="K8" s="227">
        <f>IF(G8&lt;3,normuren!$B$8,IF(AND(G8&lt;6,G8&gt;2),normuren!$B$9,IF(AND(G8&lt;9,G8&gt;5),normuren!$B$10,normuren!$B$11)))</f>
        <v>15</v>
      </c>
      <c r="L8" s="228">
        <f>normuren!$B$27</f>
        <v>20</v>
      </c>
      <c r="M8" s="228">
        <v>20</v>
      </c>
      <c r="N8" s="250">
        <f>normuren!$B$29</f>
        <v>1.5</v>
      </c>
      <c r="O8" s="115"/>
      <c r="P8" s="286"/>
      <c r="Q8" s="267" t="s">
        <v>718</v>
      </c>
      <c r="R8" s="266"/>
      <c r="S8" s="119"/>
      <c r="T8" s="119"/>
      <c r="U8" s="286"/>
      <c r="V8" s="115"/>
      <c r="W8" s="286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286"/>
      <c r="AO8" s="115"/>
      <c r="AP8" s="288">
        <v>3</v>
      </c>
      <c r="AQ8" s="115"/>
      <c r="AR8" s="286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286"/>
      <c r="BL8" s="115"/>
      <c r="BM8" s="223">
        <f t="shared" si="1"/>
        <v>3</v>
      </c>
      <c r="BN8" s="224">
        <f t="shared" si="2"/>
        <v>-3</v>
      </c>
      <c r="BO8" s="209" t="str">
        <f t="shared" si="3"/>
        <v>Oke</v>
      </c>
      <c r="BP8" s="6"/>
      <c r="BQ8" s="6"/>
      <c r="BR8" s="6"/>
      <c r="BS8" s="6"/>
      <c r="BT8" s="6"/>
      <c r="BU8" s="6"/>
      <c r="BV8" s="6"/>
      <c r="BW8" s="6"/>
      <c r="BX8" s="6"/>
      <c r="BY8" s="6"/>
    </row>
    <row r="9" spans="1:77" ht="12.75" customHeight="1" x14ac:dyDescent="0.3">
      <c r="A9" s="294" t="s">
        <v>659</v>
      </c>
      <c r="B9" s="294" t="s">
        <v>284</v>
      </c>
      <c r="C9" s="294" t="s">
        <v>27</v>
      </c>
      <c r="D9" s="294" t="s">
        <v>706</v>
      </c>
      <c r="E9" s="208"/>
      <c r="F9" s="24">
        <f t="shared" si="4"/>
        <v>0</v>
      </c>
      <c r="G9" s="249">
        <f t="shared" si="5"/>
        <v>0</v>
      </c>
      <c r="H9" s="101">
        <f t="shared" si="0"/>
        <v>0</v>
      </c>
      <c r="I9" s="79"/>
      <c r="J9" s="226">
        <f>I9*2*normuren!$B$26</f>
        <v>0</v>
      </c>
      <c r="K9" s="227">
        <f>IF(G9&lt;3,normuren!$B$8,IF(AND(G9&lt;6,G9&gt;2),normuren!$B$9,IF(AND(G9&lt;9,G9&gt;5),normuren!$B$10,normuren!$B$11)))</f>
        <v>15</v>
      </c>
      <c r="L9" s="228">
        <f>normuren!$B$24*2*12</f>
        <v>36</v>
      </c>
      <c r="M9" s="228">
        <f>normuren!$B$25*2*12</f>
        <v>45.599999999999994</v>
      </c>
      <c r="N9" s="250">
        <f>normuren!$B$29</f>
        <v>1.5</v>
      </c>
      <c r="O9" s="288" t="s">
        <v>696</v>
      </c>
      <c r="P9" s="286"/>
      <c r="Q9" s="119"/>
      <c r="R9" s="266"/>
      <c r="S9" s="119"/>
      <c r="T9" s="119"/>
      <c r="U9" s="286"/>
      <c r="V9" s="115"/>
      <c r="W9" s="286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288">
        <v>2</v>
      </c>
      <c r="AN9" s="286"/>
      <c r="AO9" s="115"/>
      <c r="AP9" s="115"/>
      <c r="AQ9" s="115"/>
      <c r="AR9" s="286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288">
        <v>2</v>
      </c>
      <c r="BF9" s="115"/>
      <c r="BG9" s="115"/>
      <c r="BH9" s="115"/>
      <c r="BI9" s="115"/>
      <c r="BJ9" s="115"/>
      <c r="BK9" s="286"/>
      <c r="BL9" s="115"/>
      <c r="BM9" s="223">
        <f t="shared" si="1"/>
        <v>4</v>
      </c>
      <c r="BN9" s="224">
        <f t="shared" si="2"/>
        <v>-4</v>
      </c>
      <c r="BO9" s="209" t="str">
        <f t="shared" si="3"/>
        <v>Oke</v>
      </c>
      <c r="BP9" s="6"/>
      <c r="BQ9" s="6"/>
      <c r="BR9" s="6"/>
      <c r="BS9" s="6"/>
      <c r="BT9" s="6"/>
      <c r="BU9" s="6"/>
      <c r="BV9" s="6"/>
      <c r="BW9" s="6"/>
      <c r="BX9" s="6"/>
      <c r="BY9" s="6"/>
    </row>
    <row r="10" spans="1:77" ht="12.75" customHeight="1" x14ac:dyDescent="0.3">
      <c r="A10" s="203" t="s">
        <v>286</v>
      </c>
      <c r="B10" s="206" t="s">
        <v>287</v>
      </c>
      <c r="C10" s="203" t="s">
        <v>245</v>
      </c>
      <c r="D10" s="203" t="s">
        <v>185</v>
      </c>
      <c r="E10" s="208"/>
      <c r="F10" s="24">
        <f t="shared" si="4"/>
        <v>0</v>
      </c>
      <c r="G10" s="249">
        <f t="shared" si="5"/>
        <v>0</v>
      </c>
      <c r="H10" s="101">
        <f t="shared" si="0"/>
        <v>0</v>
      </c>
      <c r="I10" s="79"/>
      <c r="J10" s="226">
        <f>I10*2*normuren!$B$26</f>
        <v>0</v>
      </c>
      <c r="K10" s="227">
        <f>IF(G10&lt;3,normuren!$B$8,IF(AND(G10&lt;6,G10&gt;2),normuren!$B$9,IF(AND(G10&lt;9,G10&gt;5),normuren!$B$10,normuren!$B$11)))</f>
        <v>15</v>
      </c>
      <c r="L10" s="228">
        <f>normuren!$B$24*2*12</f>
        <v>36</v>
      </c>
      <c r="M10" s="228">
        <f>normuren!$B$25*2*12</f>
        <v>45.599999999999994</v>
      </c>
      <c r="N10" s="250">
        <f>normuren!$B$29</f>
        <v>1.5</v>
      </c>
      <c r="O10" s="115"/>
      <c r="P10" s="286"/>
      <c r="Q10" s="119"/>
      <c r="R10" s="266"/>
      <c r="S10" s="119"/>
      <c r="T10" s="119"/>
      <c r="U10" s="287"/>
      <c r="V10" s="115"/>
      <c r="W10" s="286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286"/>
      <c r="AO10" s="115"/>
      <c r="AP10" s="115"/>
      <c r="AQ10" s="115"/>
      <c r="AR10" s="286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286"/>
      <c r="BL10" s="115"/>
      <c r="BM10" s="223">
        <f t="shared" si="1"/>
        <v>0</v>
      </c>
      <c r="BN10" s="224">
        <f t="shared" si="2"/>
        <v>0</v>
      </c>
      <c r="BO10" s="209" t="str">
        <f t="shared" si="3"/>
        <v>Oke</v>
      </c>
      <c r="BP10" s="6"/>
      <c r="BQ10" s="6"/>
      <c r="BR10" s="6"/>
      <c r="BS10" s="6"/>
      <c r="BT10" s="6"/>
      <c r="BU10" s="6"/>
      <c r="BV10" s="6"/>
      <c r="BW10" s="6"/>
      <c r="BX10" s="6"/>
      <c r="BY10" s="6"/>
    </row>
    <row r="11" spans="1:77" ht="12.75" customHeight="1" x14ac:dyDescent="0.3">
      <c r="A11" s="204" t="s">
        <v>355</v>
      </c>
      <c r="B11" s="204" t="s">
        <v>660</v>
      </c>
      <c r="C11" s="203" t="s">
        <v>245</v>
      </c>
      <c r="D11" s="204" t="s">
        <v>335</v>
      </c>
      <c r="E11" s="208"/>
      <c r="F11" s="24">
        <f t="shared" si="4"/>
        <v>0</v>
      </c>
      <c r="G11" s="249">
        <f t="shared" si="5"/>
        <v>0</v>
      </c>
      <c r="H11" s="101">
        <f t="shared" si="0"/>
        <v>0</v>
      </c>
      <c r="I11" s="79"/>
      <c r="J11" s="226">
        <f>I11*2*normuren!$B$26</f>
        <v>0</v>
      </c>
      <c r="K11" s="227">
        <f>IF(G11&lt;3,normuren!$B$8,IF(AND(G11&lt;6,G11&gt;2),normuren!$B$9,IF(AND(G11&lt;9,G11&gt;5),normuren!$B$10,normuren!$B$11)))</f>
        <v>15</v>
      </c>
      <c r="L11" s="228">
        <f>normuren!$B$24*2*12</f>
        <v>36</v>
      </c>
      <c r="M11" s="228">
        <f>normuren!$B$25*2*12</f>
        <v>45.599999999999994</v>
      </c>
      <c r="N11" s="250">
        <f>normuren!$B$29</f>
        <v>1.5</v>
      </c>
      <c r="O11" s="115" t="s">
        <v>696</v>
      </c>
      <c r="P11" s="286"/>
      <c r="Q11" s="119"/>
      <c r="R11" s="266"/>
      <c r="S11" s="119"/>
      <c r="T11" s="119"/>
      <c r="U11" s="286"/>
      <c r="V11" s="115"/>
      <c r="W11" s="286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286"/>
      <c r="AO11" s="115"/>
      <c r="AP11" s="115"/>
      <c r="AQ11" s="115"/>
      <c r="AR11" s="286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286"/>
      <c r="BL11" s="115"/>
      <c r="BM11" s="223">
        <f t="shared" si="1"/>
        <v>0</v>
      </c>
      <c r="BN11" s="224">
        <f t="shared" si="2"/>
        <v>0</v>
      </c>
      <c r="BO11" s="209" t="str">
        <f t="shared" si="3"/>
        <v>Oke</v>
      </c>
      <c r="BP11" s="6"/>
      <c r="BQ11" s="6"/>
      <c r="BR11" s="6"/>
      <c r="BS11" s="6"/>
      <c r="BT11" s="6"/>
      <c r="BU11" s="6"/>
      <c r="BV11" s="6"/>
      <c r="BW11" s="6"/>
      <c r="BX11" s="6"/>
      <c r="BY11" s="6"/>
    </row>
    <row r="12" spans="1:77" ht="12.75" customHeight="1" x14ac:dyDescent="0.3">
      <c r="A12" s="204" t="s">
        <v>288</v>
      </c>
      <c r="B12" s="204" t="s">
        <v>661</v>
      </c>
      <c r="C12" s="203" t="s">
        <v>245</v>
      </c>
      <c r="D12" s="204" t="s">
        <v>667</v>
      </c>
      <c r="E12" s="208"/>
      <c r="F12" s="24">
        <f t="shared" si="4"/>
        <v>0</v>
      </c>
      <c r="G12" s="249">
        <f t="shared" si="5"/>
        <v>0</v>
      </c>
      <c r="H12" s="101">
        <f t="shared" si="0"/>
        <v>0</v>
      </c>
      <c r="I12" s="79"/>
      <c r="J12" s="226">
        <f>I12*2*normuren!$B$26</f>
        <v>0</v>
      </c>
      <c r="K12" s="227">
        <f>IF(G12&lt;3,normuren!$B$8,IF(AND(G12&lt;6,G12&gt;2),normuren!$B$9,IF(AND(G12&lt;9,G12&gt;5),normuren!$B$10,normuren!$B$11)))</f>
        <v>15</v>
      </c>
      <c r="L12" s="228">
        <f>normuren!$B$24*2*12</f>
        <v>36</v>
      </c>
      <c r="M12" s="228">
        <f>normuren!$B$25*2*12</f>
        <v>45.599999999999994</v>
      </c>
      <c r="N12" s="250">
        <f>normuren!$B$29</f>
        <v>1.5</v>
      </c>
      <c r="O12" s="173"/>
      <c r="P12" s="287"/>
      <c r="Q12" s="119"/>
      <c r="R12" s="266"/>
      <c r="S12" s="119"/>
      <c r="T12" s="119"/>
      <c r="U12" s="286"/>
      <c r="V12" s="115"/>
      <c r="W12" s="286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286"/>
      <c r="AO12" s="115"/>
      <c r="AP12" s="115"/>
      <c r="AQ12" s="115"/>
      <c r="AR12" s="287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286"/>
      <c r="BL12" s="115"/>
      <c r="BM12" s="223">
        <f t="shared" si="1"/>
        <v>0</v>
      </c>
      <c r="BN12" s="224">
        <f t="shared" si="2"/>
        <v>0</v>
      </c>
      <c r="BO12" s="209" t="str">
        <f t="shared" si="3"/>
        <v>Oke</v>
      </c>
      <c r="BP12" s="6"/>
      <c r="BQ12" s="6"/>
      <c r="BR12" s="6"/>
      <c r="BS12" s="6"/>
      <c r="BT12" s="6"/>
      <c r="BU12" s="6"/>
      <c r="BV12" s="6"/>
      <c r="BW12" s="6"/>
      <c r="BX12" s="6"/>
      <c r="BY12" s="6"/>
    </row>
    <row r="13" spans="1:77" ht="12.75" customHeight="1" x14ac:dyDescent="0.3">
      <c r="A13" s="204" t="s">
        <v>289</v>
      </c>
      <c r="B13" s="204" t="s">
        <v>290</v>
      </c>
      <c r="C13" s="203" t="s">
        <v>245</v>
      </c>
      <c r="D13" s="204" t="s">
        <v>185</v>
      </c>
      <c r="E13" s="208"/>
      <c r="F13" s="24">
        <f t="shared" si="4"/>
        <v>0</v>
      </c>
      <c r="G13" s="249">
        <f t="shared" si="5"/>
        <v>0</v>
      </c>
      <c r="H13" s="101">
        <f t="shared" si="0"/>
        <v>0</v>
      </c>
      <c r="I13" s="79"/>
      <c r="J13" s="226">
        <f>I13*2*normuren!$B$26</f>
        <v>0</v>
      </c>
      <c r="K13" s="227">
        <f>IF(G13&lt;3,normuren!$B$8,IF(AND(G13&lt;6,G13&gt;2),normuren!$B$9,IF(AND(G13&lt;9,G13&gt;5),normuren!$B$10,normuren!$B$11)))</f>
        <v>15</v>
      </c>
      <c r="L13" s="228">
        <f>normuren!$B$24*2*12</f>
        <v>36</v>
      </c>
      <c r="M13" s="228">
        <f>normuren!$B$25*2*12</f>
        <v>45.599999999999994</v>
      </c>
      <c r="N13" s="250">
        <f>normuren!$B$29</f>
        <v>1.5</v>
      </c>
      <c r="O13" s="115"/>
      <c r="P13" s="286"/>
      <c r="Q13" s="119"/>
      <c r="R13" s="266"/>
      <c r="S13" s="119"/>
      <c r="T13" s="119"/>
      <c r="U13" s="286"/>
      <c r="V13" s="115"/>
      <c r="W13" s="286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286"/>
      <c r="AO13" s="115"/>
      <c r="AP13" s="115"/>
      <c r="AQ13" s="115"/>
      <c r="AR13" s="286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286"/>
      <c r="BL13" s="115"/>
      <c r="BM13" s="223">
        <f t="shared" si="1"/>
        <v>0</v>
      </c>
      <c r="BN13" s="224">
        <f t="shared" si="2"/>
        <v>0</v>
      </c>
      <c r="BO13" s="209" t="str">
        <f t="shared" si="3"/>
        <v>Oke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</row>
    <row r="14" spans="1:77" ht="12.75" customHeight="1" x14ac:dyDescent="0.3">
      <c r="A14" s="203" t="s">
        <v>662</v>
      </c>
      <c r="B14" s="203" t="s">
        <v>285</v>
      </c>
      <c r="C14" s="203" t="s">
        <v>245</v>
      </c>
      <c r="D14" s="203" t="s">
        <v>167</v>
      </c>
      <c r="E14" s="208"/>
      <c r="F14" s="24">
        <f t="shared" si="4"/>
        <v>0</v>
      </c>
      <c r="G14" s="249">
        <f t="shared" si="5"/>
        <v>0</v>
      </c>
      <c r="H14" s="101">
        <f t="shared" si="0"/>
        <v>0</v>
      </c>
      <c r="I14" s="79"/>
      <c r="J14" s="226">
        <f>I14*2*normuren!$B$26</f>
        <v>0</v>
      </c>
      <c r="K14" s="227">
        <f>IF(G14&lt;3,normuren!$B$8,IF(AND(G14&lt;6,G14&gt;2),normuren!$B$9,IF(AND(G14&lt;9,G14&gt;5),normuren!$B$10,normuren!$B$11)))</f>
        <v>15</v>
      </c>
      <c r="L14" s="228">
        <f>normuren!$B$24*2*12</f>
        <v>36</v>
      </c>
      <c r="M14" s="228">
        <f>normuren!$B$25*2*12</f>
        <v>45.599999999999994</v>
      </c>
      <c r="N14" s="250">
        <f>normuren!$B$29</f>
        <v>1.5</v>
      </c>
      <c r="O14" s="115"/>
      <c r="P14" s="286"/>
      <c r="Q14" s="119"/>
      <c r="R14" s="266"/>
      <c r="S14" s="119"/>
      <c r="T14" s="211"/>
      <c r="U14" s="286"/>
      <c r="V14" s="115"/>
      <c r="W14" s="286"/>
      <c r="X14" s="115"/>
      <c r="Y14" s="173"/>
      <c r="Z14" s="173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211"/>
      <c r="AN14" s="286"/>
      <c r="AO14" s="115"/>
      <c r="AP14" s="115"/>
      <c r="AQ14" s="115"/>
      <c r="AR14" s="286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286"/>
      <c r="BL14" s="115"/>
      <c r="BM14" s="223">
        <f t="shared" si="1"/>
        <v>0</v>
      </c>
      <c r="BN14" s="224">
        <f t="shared" si="2"/>
        <v>0</v>
      </c>
      <c r="BO14" s="209" t="str">
        <f t="shared" si="3"/>
        <v>Oke</v>
      </c>
      <c r="BP14" s="6"/>
      <c r="BQ14" s="6"/>
      <c r="BR14" s="6"/>
      <c r="BS14" s="6"/>
      <c r="BT14" s="6"/>
      <c r="BU14" s="6"/>
      <c r="BV14" s="6"/>
      <c r="BW14" s="6"/>
      <c r="BX14" s="6"/>
      <c r="BY14" s="6"/>
    </row>
    <row r="15" spans="1:77" ht="12.75" customHeight="1" x14ac:dyDescent="0.3">
      <c r="A15" s="203" t="s">
        <v>356</v>
      </c>
      <c r="B15" s="203" t="s">
        <v>291</v>
      </c>
      <c r="C15" s="203" t="s">
        <v>245</v>
      </c>
      <c r="D15" s="203" t="s">
        <v>336</v>
      </c>
      <c r="E15" s="208"/>
      <c r="F15" s="24">
        <f t="shared" si="4"/>
        <v>0</v>
      </c>
      <c r="G15" s="249">
        <f t="shared" si="5"/>
        <v>0</v>
      </c>
      <c r="H15" s="101">
        <f t="shared" si="0"/>
        <v>0</v>
      </c>
      <c r="I15" s="79"/>
      <c r="J15" s="226">
        <f>I15*2*normuren!$B$26</f>
        <v>0</v>
      </c>
      <c r="K15" s="227">
        <f>IF(G15&lt;3,normuren!$B$8,IF(AND(G15&lt;6,G15&gt;2),normuren!$B$9,IF(AND(G15&lt;9,G15&gt;5),normuren!$B$10,normuren!$B$11)))</f>
        <v>15</v>
      </c>
      <c r="L15" s="228">
        <f>normuren!$B$24*2*12</f>
        <v>36</v>
      </c>
      <c r="M15" s="228">
        <f>normuren!$B$25*2*12</f>
        <v>45.599999999999994</v>
      </c>
      <c r="N15" s="250">
        <f>normuren!$B$29</f>
        <v>1.5</v>
      </c>
      <c r="O15" s="115"/>
      <c r="P15" s="286"/>
      <c r="Q15" s="119"/>
      <c r="R15" s="266"/>
      <c r="S15" s="119"/>
      <c r="T15" s="211"/>
      <c r="U15" s="286"/>
      <c r="V15" s="115"/>
      <c r="W15" s="286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286"/>
      <c r="AO15" s="115"/>
      <c r="AP15" s="115"/>
      <c r="AQ15" s="115"/>
      <c r="AR15" s="286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284" t="s">
        <v>696</v>
      </c>
      <c r="BE15" s="115"/>
      <c r="BF15" s="115"/>
      <c r="BG15" s="115"/>
      <c r="BH15" s="115"/>
      <c r="BI15" s="115"/>
      <c r="BJ15" s="115"/>
      <c r="BK15" s="286"/>
      <c r="BL15" s="115"/>
      <c r="BM15" s="223">
        <f t="shared" si="1"/>
        <v>0</v>
      </c>
      <c r="BN15" s="224">
        <f t="shared" si="2"/>
        <v>0</v>
      </c>
      <c r="BO15" s="209" t="str">
        <f t="shared" si="3"/>
        <v>Oke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</row>
    <row r="16" spans="1:77" ht="12.75" customHeight="1" x14ac:dyDescent="0.3">
      <c r="A16" s="203" t="s">
        <v>357</v>
      </c>
      <c r="B16" s="204" t="s">
        <v>663</v>
      </c>
      <c r="C16" s="203" t="s">
        <v>245</v>
      </c>
      <c r="D16" s="207" t="s">
        <v>618</v>
      </c>
      <c r="E16" s="208"/>
      <c r="F16" s="24">
        <f t="shared" si="4"/>
        <v>0</v>
      </c>
      <c r="G16" s="249">
        <f t="shared" si="5"/>
        <v>0</v>
      </c>
      <c r="H16" s="101">
        <f t="shared" si="0"/>
        <v>0</v>
      </c>
      <c r="I16" s="79"/>
      <c r="J16" s="226">
        <f>I16*2*normuren!$B$26</f>
        <v>0</v>
      </c>
      <c r="K16" s="227">
        <f>IF(G16&lt;3,normuren!$B$8,IF(AND(G16&lt;6,G16&gt;2),normuren!$B$9,IF(AND(G16&lt;9,G16&gt;5),normuren!$B$10,normuren!$B$11)))</f>
        <v>15</v>
      </c>
      <c r="L16" s="228">
        <f>normuren!$B$24*2*12</f>
        <v>36</v>
      </c>
      <c r="M16" s="228">
        <f>normuren!$B$25*2*12</f>
        <v>45.599999999999994</v>
      </c>
      <c r="N16" s="250">
        <f>normuren!$B$29</f>
        <v>1.5</v>
      </c>
      <c r="O16" s="115"/>
      <c r="P16" s="286"/>
      <c r="Q16" s="119"/>
      <c r="R16" s="266"/>
      <c r="S16" s="119"/>
      <c r="T16" s="119"/>
      <c r="U16" s="286"/>
      <c r="V16" s="115"/>
      <c r="W16" s="286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286"/>
      <c r="AO16" s="115"/>
      <c r="AP16" s="115"/>
      <c r="AQ16" s="115"/>
      <c r="AR16" s="286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73"/>
      <c r="BJ16" s="173"/>
      <c r="BK16" s="286"/>
      <c r="BL16" s="115"/>
      <c r="BM16" s="223">
        <f t="shared" si="1"/>
        <v>0</v>
      </c>
      <c r="BN16" s="224">
        <f t="shared" si="2"/>
        <v>0</v>
      </c>
      <c r="BO16" s="209" t="str">
        <f t="shared" si="3"/>
        <v>Oke</v>
      </c>
      <c r="BP16" s="6"/>
      <c r="BQ16" s="6"/>
      <c r="BR16" s="6"/>
      <c r="BS16" s="6"/>
      <c r="BT16" s="6"/>
      <c r="BU16" s="6"/>
      <c r="BV16" s="6"/>
      <c r="BW16" s="6"/>
      <c r="BX16" s="6"/>
      <c r="BY16" s="6"/>
    </row>
    <row r="17" spans="1:77" ht="12.75" customHeight="1" x14ac:dyDescent="0.3">
      <c r="A17" s="204" t="s">
        <v>358</v>
      </c>
      <c r="B17" s="204" t="s">
        <v>292</v>
      </c>
      <c r="C17" s="203" t="s">
        <v>245</v>
      </c>
      <c r="D17" s="204" t="s">
        <v>337</v>
      </c>
      <c r="E17" s="208"/>
      <c r="F17" s="24">
        <f t="shared" si="4"/>
        <v>0</v>
      </c>
      <c r="G17" s="249">
        <f t="shared" si="5"/>
        <v>0</v>
      </c>
      <c r="H17" s="101">
        <f t="shared" si="0"/>
        <v>0</v>
      </c>
      <c r="I17" s="79"/>
      <c r="J17" s="226">
        <f>I17*2*normuren!$B$26</f>
        <v>0</v>
      </c>
      <c r="K17" s="227">
        <f>IF(G17&lt;3,normuren!$B$8,IF(AND(G17&lt;6,G17&gt;2),normuren!$B$9,IF(AND(G17&lt;9,G17&gt;5),normuren!$B$10,normuren!$B$11)))</f>
        <v>15</v>
      </c>
      <c r="L17" s="228">
        <f>normuren!$B$24*2*12</f>
        <v>36</v>
      </c>
      <c r="M17" s="228">
        <f>normuren!$B$25*2*12</f>
        <v>45.599999999999994</v>
      </c>
      <c r="N17" s="250">
        <f>normuren!$B$29</f>
        <v>1.5</v>
      </c>
      <c r="O17" s="115"/>
      <c r="P17" s="286"/>
      <c r="Q17" s="119"/>
      <c r="R17" s="266"/>
      <c r="S17" s="119"/>
      <c r="T17" s="173"/>
      <c r="U17" s="286"/>
      <c r="V17" s="115"/>
      <c r="W17" s="286"/>
      <c r="X17" s="115"/>
      <c r="Y17" s="115"/>
      <c r="Z17" s="115"/>
      <c r="AA17" s="173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286"/>
      <c r="AO17" s="115"/>
      <c r="AP17" s="115"/>
      <c r="AQ17" s="115"/>
      <c r="AR17" s="286"/>
      <c r="AS17" s="115"/>
      <c r="AT17" s="173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286"/>
      <c r="BL17" s="115"/>
      <c r="BM17" s="223">
        <f t="shared" si="1"/>
        <v>0</v>
      </c>
      <c r="BN17" s="224">
        <f t="shared" si="2"/>
        <v>0</v>
      </c>
      <c r="BO17" s="209" t="str">
        <f t="shared" si="3"/>
        <v>Oke</v>
      </c>
      <c r="BP17" s="6"/>
      <c r="BQ17" s="6"/>
      <c r="BR17" s="6"/>
      <c r="BS17" s="6"/>
      <c r="BT17" s="6"/>
      <c r="BU17" s="6"/>
      <c r="BV17" s="6"/>
      <c r="BW17" s="6"/>
      <c r="BX17" s="6"/>
      <c r="BY17" s="6"/>
    </row>
    <row r="18" spans="1:77" ht="12.75" customHeight="1" x14ac:dyDescent="0.3">
      <c r="A18" s="294" t="s">
        <v>485</v>
      </c>
      <c r="B18" s="294" t="s">
        <v>420</v>
      </c>
      <c r="C18" s="294" t="s">
        <v>476</v>
      </c>
      <c r="D18" s="294" t="s">
        <v>666</v>
      </c>
      <c r="E18" s="208"/>
      <c r="F18" s="24">
        <f t="shared" si="4"/>
        <v>0</v>
      </c>
      <c r="G18" s="249">
        <f t="shared" si="5"/>
        <v>0</v>
      </c>
      <c r="H18" s="101">
        <f t="shared" si="0"/>
        <v>0</v>
      </c>
      <c r="I18" s="79"/>
      <c r="J18" s="226">
        <f>I18*2*normuren!$B$26</f>
        <v>0</v>
      </c>
      <c r="K18" s="227">
        <f>IF(G18&lt;3,normuren!$B$8,IF(AND(G18&lt;6,G18&gt;2),normuren!$B$9,IF(AND(G18&lt;9,G18&gt;5),normuren!$B$10,normuren!$B$11)))</f>
        <v>15</v>
      </c>
      <c r="L18" s="228">
        <f>normuren!$B$24*2*12</f>
        <v>36</v>
      </c>
      <c r="M18" s="228">
        <f>normuren!$B$25*2*12</f>
        <v>45.599999999999994</v>
      </c>
      <c r="N18" s="250">
        <f>normuren!$B$29</f>
        <v>1.5</v>
      </c>
      <c r="O18" s="115"/>
      <c r="P18" s="286"/>
      <c r="Q18" s="119"/>
      <c r="R18" s="266"/>
      <c r="S18" s="119"/>
      <c r="T18" s="119"/>
      <c r="U18" s="286"/>
      <c r="V18" s="115"/>
      <c r="W18" s="286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288">
        <v>1</v>
      </c>
      <c r="AI18" s="288"/>
      <c r="AJ18" s="115"/>
      <c r="AK18" s="115"/>
      <c r="AL18" s="115"/>
      <c r="AM18" s="115"/>
      <c r="AN18" s="286"/>
      <c r="AO18" s="115"/>
      <c r="AP18" s="115"/>
      <c r="AQ18" s="115"/>
      <c r="AR18" s="286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288" t="s">
        <v>696</v>
      </c>
      <c r="BF18" s="115"/>
      <c r="BG18" s="115"/>
      <c r="BH18" s="115"/>
      <c r="BI18" s="115"/>
      <c r="BJ18" s="115"/>
      <c r="BK18" s="286"/>
      <c r="BL18" s="115"/>
      <c r="BM18" s="223">
        <f t="shared" si="1"/>
        <v>1</v>
      </c>
      <c r="BN18" s="224">
        <f t="shared" si="2"/>
        <v>-1</v>
      </c>
      <c r="BO18" s="209" t="str">
        <f t="shared" si="3"/>
        <v>Oke</v>
      </c>
      <c r="BP18" s="6"/>
      <c r="BQ18" s="6"/>
      <c r="BR18" s="6"/>
      <c r="BS18" s="6"/>
      <c r="BT18" s="6"/>
      <c r="BU18" s="6"/>
      <c r="BV18" s="6"/>
      <c r="BW18" s="6"/>
      <c r="BX18" s="6"/>
      <c r="BY18" s="6"/>
    </row>
    <row r="19" spans="1:77" ht="12.75" customHeight="1" x14ac:dyDescent="0.3">
      <c r="A19" s="203" t="s">
        <v>293</v>
      </c>
      <c r="B19" s="203" t="s">
        <v>294</v>
      </c>
      <c r="C19" s="203" t="s">
        <v>353</v>
      </c>
      <c r="D19" s="204" t="s">
        <v>602</v>
      </c>
      <c r="E19" s="208"/>
      <c r="F19" s="24">
        <f t="shared" si="4"/>
        <v>0</v>
      </c>
      <c r="G19" s="249">
        <f t="shared" si="5"/>
        <v>0</v>
      </c>
      <c r="H19" s="101">
        <f t="shared" si="0"/>
        <v>0</v>
      </c>
      <c r="I19" s="79"/>
      <c r="J19" s="226">
        <f>I19*2*normuren!$B$26</f>
        <v>0</v>
      </c>
      <c r="K19" s="227">
        <f>IF(G19&lt;3,normuren!$B$8,IF(AND(G19&lt;6,G19&gt;2),normuren!$B$9,IF(AND(G19&lt;9,G19&gt;5),normuren!$B$10,normuren!$B$11)))</f>
        <v>15</v>
      </c>
      <c r="L19" s="228">
        <f>normuren!$B$24*2*12</f>
        <v>36</v>
      </c>
      <c r="M19" s="228">
        <f>normuren!$B$25*2*12</f>
        <v>45.599999999999994</v>
      </c>
      <c r="N19" s="250">
        <f>normuren!$B$29</f>
        <v>1.5</v>
      </c>
      <c r="O19" s="115" t="s">
        <v>696</v>
      </c>
      <c r="P19" s="286"/>
      <c r="Q19" s="119"/>
      <c r="R19" s="266"/>
      <c r="S19" s="119"/>
      <c r="T19" s="119"/>
      <c r="U19" s="286"/>
      <c r="V19" s="115"/>
      <c r="W19" s="286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286"/>
      <c r="AO19" s="115"/>
      <c r="AP19" s="115"/>
      <c r="AQ19" s="115"/>
      <c r="AR19" s="286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286"/>
      <c r="BL19" s="115"/>
      <c r="BM19" s="223">
        <f t="shared" si="1"/>
        <v>0</v>
      </c>
      <c r="BN19" s="224">
        <f t="shared" si="2"/>
        <v>0</v>
      </c>
      <c r="BO19" s="209" t="str">
        <f t="shared" si="3"/>
        <v>Oke</v>
      </c>
      <c r="BQ19" s="6"/>
      <c r="BR19" s="6"/>
      <c r="BS19" s="6"/>
      <c r="BT19" s="6"/>
      <c r="BU19" s="6"/>
      <c r="BV19" s="6"/>
      <c r="BW19" s="6"/>
      <c r="BX19" s="6"/>
      <c r="BY19" s="6"/>
    </row>
    <row r="20" spans="1:77" ht="12.75" customHeight="1" x14ac:dyDescent="0.3">
      <c r="A20" s="203" t="s">
        <v>295</v>
      </c>
      <c r="B20" s="203" t="s">
        <v>296</v>
      </c>
      <c r="C20" s="203" t="s">
        <v>250</v>
      </c>
      <c r="D20" s="203" t="s">
        <v>338</v>
      </c>
      <c r="E20" s="208"/>
      <c r="F20" s="24">
        <f t="shared" si="4"/>
        <v>0</v>
      </c>
      <c r="G20" s="249">
        <f t="shared" si="5"/>
        <v>0</v>
      </c>
      <c r="H20" s="101">
        <f t="shared" si="0"/>
        <v>0</v>
      </c>
      <c r="I20" s="79"/>
      <c r="J20" s="226">
        <f>I20*2*normuren!$B$26</f>
        <v>0</v>
      </c>
      <c r="K20" s="227">
        <f>IF(G20&lt;3,normuren!$B$8,IF(AND(G20&lt;6,G20&gt;2),normuren!$B$9,IF(AND(G20&lt;9,G20&gt;5),normuren!$B$10,normuren!$B$11)))</f>
        <v>15</v>
      </c>
      <c r="L20" s="228">
        <f>normuren!$B$24*2*12</f>
        <v>36</v>
      </c>
      <c r="M20" s="228">
        <f>normuren!$B$25*2*12</f>
        <v>45.599999999999994</v>
      </c>
      <c r="N20" s="250">
        <f>normuren!$B$29</f>
        <v>1.5</v>
      </c>
      <c r="O20" s="115"/>
      <c r="P20" s="286"/>
      <c r="Q20" s="119"/>
      <c r="R20" s="266"/>
      <c r="S20" s="119"/>
      <c r="T20" s="119"/>
      <c r="U20" s="286"/>
      <c r="V20" s="115"/>
      <c r="W20" s="287"/>
      <c r="X20" s="173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286"/>
      <c r="AO20" s="115"/>
      <c r="AP20" s="115"/>
      <c r="AQ20" s="115"/>
      <c r="AR20" s="286"/>
      <c r="AS20" s="173"/>
      <c r="AT20" s="115"/>
      <c r="AU20" s="115"/>
      <c r="AV20" s="173"/>
      <c r="AW20" s="173"/>
      <c r="AX20" s="173"/>
      <c r="AY20" s="173"/>
      <c r="AZ20" s="173"/>
      <c r="BA20" s="173"/>
      <c r="BB20" s="173"/>
      <c r="BC20" s="115"/>
      <c r="BD20" s="173"/>
      <c r="BE20" s="173"/>
      <c r="BF20" s="173"/>
      <c r="BG20" s="173"/>
      <c r="BH20" s="173"/>
      <c r="BI20" s="115"/>
      <c r="BJ20" s="115"/>
      <c r="BK20" s="287"/>
      <c r="BL20" s="115"/>
      <c r="BM20" s="223">
        <f t="shared" si="1"/>
        <v>0</v>
      </c>
      <c r="BN20" s="224">
        <f t="shared" si="2"/>
        <v>0</v>
      </c>
      <c r="BO20" s="209" t="str">
        <f t="shared" si="3"/>
        <v>Oke</v>
      </c>
      <c r="BP20" s="6"/>
      <c r="BQ20" s="6"/>
      <c r="BR20" s="6"/>
      <c r="BS20" s="6"/>
      <c r="BT20" s="6"/>
      <c r="BU20" s="6"/>
      <c r="BV20" s="6"/>
      <c r="BW20" s="6"/>
      <c r="BX20" s="6"/>
      <c r="BY20" s="6"/>
    </row>
    <row r="21" spans="1:77" ht="12.75" customHeight="1" x14ac:dyDescent="0.3">
      <c r="A21" s="203" t="s">
        <v>297</v>
      </c>
      <c r="B21" s="203" t="s">
        <v>298</v>
      </c>
      <c r="C21" s="203" t="s">
        <v>354</v>
      </c>
      <c r="D21" s="203" t="s">
        <v>339</v>
      </c>
      <c r="E21" s="208"/>
      <c r="F21" s="24">
        <f t="shared" si="4"/>
        <v>0</v>
      </c>
      <c r="G21" s="249">
        <f t="shared" si="5"/>
        <v>0</v>
      </c>
      <c r="H21" s="101">
        <f t="shared" si="0"/>
        <v>0</v>
      </c>
      <c r="I21" s="79"/>
      <c r="J21" s="226">
        <f>I21*2*normuren!$B$26</f>
        <v>0</v>
      </c>
      <c r="K21" s="227">
        <f>IF(G21&lt;3,normuren!$B$8,IF(AND(G21&lt;6,G21&gt;2),normuren!$B$9,IF(AND(G21&lt;9,G21&gt;5),normuren!$B$10,normuren!$B$11)))</f>
        <v>15</v>
      </c>
      <c r="L21" s="228">
        <f>normuren!$B$27</f>
        <v>20</v>
      </c>
      <c r="M21" s="228">
        <v>20</v>
      </c>
      <c r="N21" s="250">
        <f>normuren!$B$29</f>
        <v>1.5</v>
      </c>
      <c r="O21" s="115" t="s">
        <v>696</v>
      </c>
      <c r="P21" s="286"/>
      <c r="Q21" s="119"/>
      <c r="R21" s="266"/>
      <c r="S21" s="119"/>
      <c r="T21" s="119"/>
      <c r="U21" s="286"/>
      <c r="V21" s="115"/>
      <c r="W21" s="286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286"/>
      <c r="AO21" s="115"/>
      <c r="AP21" s="115"/>
      <c r="AQ21" s="115"/>
      <c r="AR21" s="286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285"/>
      <c r="BL21" s="115"/>
      <c r="BM21" s="223">
        <f t="shared" si="1"/>
        <v>0</v>
      </c>
      <c r="BN21" s="224">
        <f t="shared" si="2"/>
        <v>0</v>
      </c>
      <c r="BO21" s="209" t="str">
        <f t="shared" si="3"/>
        <v>Oke</v>
      </c>
      <c r="BP21" s="6"/>
      <c r="BQ21" s="6"/>
      <c r="BR21" s="6"/>
      <c r="BS21" s="6"/>
      <c r="BT21" s="6"/>
      <c r="BU21" s="6"/>
      <c r="BV21" s="6"/>
      <c r="BW21" s="6"/>
      <c r="BX21" s="6"/>
      <c r="BY21" s="6"/>
    </row>
    <row r="22" spans="1:77" ht="12.75" customHeight="1" x14ac:dyDescent="0.3">
      <c r="A22" s="203" t="s">
        <v>359</v>
      </c>
      <c r="B22" s="203" t="s">
        <v>299</v>
      </c>
      <c r="C22" s="203" t="s">
        <v>247</v>
      </c>
      <c r="D22" s="203" t="s">
        <v>194</v>
      </c>
      <c r="E22" s="208"/>
      <c r="F22" s="24">
        <f t="shared" si="4"/>
        <v>0</v>
      </c>
      <c r="G22" s="249">
        <f t="shared" si="5"/>
        <v>0</v>
      </c>
      <c r="H22" s="101">
        <f t="shared" si="0"/>
        <v>0</v>
      </c>
      <c r="I22" s="79"/>
      <c r="J22" s="226">
        <f>I22*2*normuren!$B$26</f>
        <v>0</v>
      </c>
      <c r="K22" s="227">
        <f>IF(G22&lt;3,normuren!$B$8,IF(AND(G22&lt;6,G22&gt;2),normuren!$B$9,IF(AND(G22&lt;9,G22&gt;5),normuren!$B$10,normuren!$B$11)))</f>
        <v>15</v>
      </c>
      <c r="L22" s="228">
        <f>normuren!$B$27</f>
        <v>20</v>
      </c>
      <c r="M22" s="228">
        <v>20</v>
      </c>
      <c r="N22" s="250">
        <f>normuren!$B$29</f>
        <v>1.5</v>
      </c>
      <c r="O22" s="115"/>
      <c r="P22" s="286"/>
      <c r="Q22" s="119"/>
      <c r="R22" s="266"/>
      <c r="S22" s="119"/>
      <c r="T22" s="119"/>
      <c r="U22" s="286"/>
      <c r="V22" s="115"/>
      <c r="W22" s="286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286"/>
      <c r="AO22" s="115"/>
      <c r="AP22" s="115"/>
      <c r="AQ22" s="115"/>
      <c r="AR22" s="286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286"/>
      <c r="BL22" s="115"/>
      <c r="BM22" s="223">
        <f t="shared" si="1"/>
        <v>0</v>
      </c>
      <c r="BN22" s="224">
        <f t="shared" si="2"/>
        <v>0</v>
      </c>
      <c r="BO22" s="209" t="str">
        <f t="shared" si="3"/>
        <v>Oke</v>
      </c>
      <c r="BP22" s="6"/>
      <c r="BQ22" s="6"/>
      <c r="BR22" s="6"/>
      <c r="BS22" s="6"/>
      <c r="BT22" s="6"/>
      <c r="BU22" s="6"/>
      <c r="BV22" s="6"/>
      <c r="BW22" s="6"/>
      <c r="BX22" s="6"/>
      <c r="BY22" s="6"/>
    </row>
    <row r="23" spans="1:77" ht="12.75" customHeight="1" x14ac:dyDescent="0.3">
      <c r="A23" s="294" t="s">
        <v>360</v>
      </c>
      <c r="B23" s="294" t="s">
        <v>300</v>
      </c>
      <c r="C23" s="294" t="s">
        <v>27</v>
      </c>
      <c r="D23" s="294" t="s">
        <v>164</v>
      </c>
      <c r="E23" s="208"/>
      <c r="F23" s="24">
        <f t="shared" si="4"/>
        <v>0</v>
      </c>
      <c r="G23" s="249">
        <f t="shared" si="5"/>
        <v>0</v>
      </c>
      <c r="H23" s="101">
        <f t="shared" si="0"/>
        <v>0</v>
      </c>
      <c r="I23" s="79"/>
      <c r="J23" s="226">
        <f>I23*2*normuren!$B$26</f>
        <v>0</v>
      </c>
      <c r="K23" s="227">
        <f>IF(G23&lt;3,normuren!$B$8,IF(AND(G23&lt;6,G23&gt;2),normuren!$B$9,IF(AND(G23&lt;9,G23&gt;5),normuren!$B$10,normuren!$B$11)))</f>
        <v>15</v>
      </c>
      <c r="L23" s="228">
        <f>normuren!$B$27</f>
        <v>20</v>
      </c>
      <c r="M23" s="228">
        <v>20</v>
      </c>
      <c r="N23" s="250">
        <f>normuren!$B$29</f>
        <v>1.5</v>
      </c>
      <c r="O23" s="115"/>
      <c r="P23" s="286"/>
      <c r="Q23" s="119"/>
      <c r="R23" s="266"/>
      <c r="S23" s="119"/>
      <c r="T23" s="119"/>
      <c r="U23" s="286"/>
      <c r="V23" s="115"/>
      <c r="W23" s="286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286"/>
      <c r="AO23" s="288" t="s">
        <v>696</v>
      </c>
      <c r="AP23" s="115"/>
      <c r="AQ23" s="115"/>
      <c r="AR23" s="286"/>
      <c r="AS23" s="115"/>
      <c r="AT23" s="115"/>
      <c r="AU23" s="115"/>
      <c r="AV23" s="115"/>
      <c r="AW23" s="115"/>
      <c r="AX23" s="284">
        <v>3</v>
      </c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286"/>
      <c r="BL23" s="115"/>
      <c r="BM23" s="223">
        <f t="shared" si="1"/>
        <v>3</v>
      </c>
      <c r="BN23" s="224">
        <f t="shared" si="2"/>
        <v>-3</v>
      </c>
      <c r="BO23" s="209" t="str">
        <f t="shared" si="3"/>
        <v>Oke</v>
      </c>
      <c r="BP23" s="6"/>
      <c r="BQ23" s="6"/>
      <c r="BR23" s="6"/>
      <c r="BS23" s="6"/>
      <c r="BT23" s="6"/>
      <c r="BU23" s="6"/>
      <c r="BV23" s="6"/>
      <c r="BW23" s="6"/>
      <c r="BX23" s="6"/>
      <c r="BY23" s="6"/>
    </row>
    <row r="24" spans="1:77" ht="12.75" customHeight="1" x14ac:dyDescent="0.3">
      <c r="A24" s="203" t="s">
        <v>361</v>
      </c>
      <c r="B24" s="203" t="s">
        <v>301</v>
      </c>
      <c r="C24" s="203" t="s">
        <v>246</v>
      </c>
      <c r="D24" s="203" t="s">
        <v>340</v>
      </c>
      <c r="E24" s="208"/>
      <c r="F24" s="24">
        <f t="shared" si="4"/>
        <v>0</v>
      </c>
      <c r="G24" s="249">
        <f t="shared" si="5"/>
        <v>0</v>
      </c>
      <c r="H24" s="101">
        <f t="shared" si="0"/>
        <v>0</v>
      </c>
      <c r="I24" s="79"/>
      <c r="J24" s="226">
        <f>I24*2*normuren!$B$26</f>
        <v>0</v>
      </c>
      <c r="K24" s="227">
        <f>IF(G24&lt;3,normuren!$B$8,IF(AND(G24&lt;6,G24&gt;2),normuren!$B$9,IF(AND(G24&lt;9,G24&gt;5),normuren!$B$10,normuren!$B$11)))</f>
        <v>15</v>
      </c>
      <c r="L24" s="228">
        <f>normuren!$B$27</f>
        <v>20</v>
      </c>
      <c r="M24" s="228">
        <v>20</v>
      </c>
      <c r="N24" s="250">
        <f>normuren!$B$29</f>
        <v>1.5</v>
      </c>
      <c r="O24" s="115"/>
      <c r="P24" s="286"/>
      <c r="Q24" s="119"/>
      <c r="R24" s="266"/>
      <c r="S24" s="119"/>
      <c r="T24" s="119"/>
      <c r="U24" s="286"/>
      <c r="V24" s="115"/>
      <c r="W24" s="286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286"/>
      <c r="AO24" s="115"/>
      <c r="AP24" s="115"/>
      <c r="AQ24" s="115"/>
      <c r="AR24" s="286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286"/>
      <c r="BL24" s="115"/>
      <c r="BM24" s="223">
        <f t="shared" si="1"/>
        <v>0</v>
      </c>
      <c r="BN24" s="224">
        <f t="shared" si="2"/>
        <v>0</v>
      </c>
      <c r="BO24" s="209" t="str">
        <f t="shared" si="3"/>
        <v>Oke</v>
      </c>
      <c r="BP24" s="6"/>
      <c r="BQ24" s="6"/>
      <c r="BR24" s="6"/>
      <c r="BS24" s="6"/>
      <c r="BT24" s="6"/>
      <c r="BU24" s="6"/>
      <c r="BV24" s="6"/>
      <c r="BW24" s="6"/>
      <c r="BX24" s="6"/>
      <c r="BY24" s="6"/>
    </row>
    <row r="25" spans="1:77" ht="12.75" customHeight="1" x14ac:dyDescent="0.3">
      <c r="A25" s="203" t="s">
        <v>362</v>
      </c>
      <c r="B25" s="203" t="s">
        <v>302</v>
      </c>
      <c r="C25" s="203" t="s">
        <v>247</v>
      </c>
      <c r="D25" s="204" t="s">
        <v>341</v>
      </c>
      <c r="E25" s="208"/>
      <c r="F25" s="24">
        <f t="shared" si="4"/>
        <v>0</v>
      </c>
      <c r="G25" s="249">
        <f t="shared" si="5"/>
        <v>0</v>
      </c>
      <c r="H25" s="101">
        <f t="shared" si="0"/>
        <v>0</v>
      </c>
      <c r="I25" s="79"/>
      <c r="J25" s="226">
        <f>I25*2*normuren!$B$26</f>
        <v>0</v>
      </c>
      <c r="K25" s="227">
        <f>IF(G25&lt;3,normuren!$B$8,IF(AND(G25&lt;6,G25&gt;2),normuren!$B$9,IF(AND(G25&lt;9,G25&gt;5),normuren!$B$10,normuren!$B$11)))</f>
        <v>15</v>
      </c>
      <c r="L25" s="228">
        <f>normuren!$B$27</f>
        <v>20</v>
      </c>
      <c r="M25" s="228">
        <v>20</v>
      </c>
      <c r="N25" s="250">
        <f>normuren!$B$29</f>
        <v>1.5</v>
      </c>
      <c r="O25" s="115"/>
      <c r="P25" s="286"/>
      <c r="Q25" s="119"/>
      <c r="R25" s="266"/>
      <c r="S25" s="119"/>
      <c r="T25" s="119"/>
      <c r="U25" s="286"/>
      <c r="V25" s="115"/>
      <c r="W25" s="286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286"/>
      <c r="AO25" s="115"/>
      <c r="AP25" s="115"/>
      <c r="AQ25" s="115"/>
      <c r="AR25" s="286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286"/>
      <c r="BL25" s="115"/>
      <c r="BM25" s="223">
        <f t="shared" si="1"/>
        <v>0</v>
      </c>
      <c r="BN25" s="224">
        <f t="shared" si="2"/>
        <v>0</v>
      </c>
      <c r="BO25" s="209" t="str">
        <f t="shared" si="3"/>
        <v>Oke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</row>
    <row r="26" spans="1:77" ht="12.75" customHeight="1" x14ac:dyDescent="0.3">
      <c r="A26" s="203" t="s">
        <v>363</v>
      </c>
      <c r="B26" s="203" t="s">
        <v>303</v>
      </c>
      <c r="C26" s="203" t="s">
        <v>246</v>
      </c>
      <c r="D26" s="205" t="s">
        <v>619</v>
      </c>
      <c r="E26" s="208"/>
      <c r="F26" s="24">
        <f t="shared" si="4"/>
        <v>0</v>
      </c>
      <c r="G26" s="249">
        <f t="shared" si="5"/>
        <v>0</v>
      </c>
      <c r="H26" s="101">
        <f t="shared" si="0"/>
        <v>0</v>
      </c>
      <c r="I26" s="79"/>
      <c r="J26" s="226">
        <f>I26*2*normuren!$B$26</f>
        <v>0</v>
      </c>
      <c r="K26" s="227">
        <f>IF(G26&lt;3,normuren!$B$8,IF(AND(G26&lt;6,G26&gt;2),normuren!$B$9,IF(AND(G26&lt;9,G26&gt;5),normuren!$B$10,normuren!$B$11)))</f>
        <v>15</v>
      </c>
      <c r="L26" s="228">
        <f>normuren!$B$27</f>
        <v>20</v>
      </c>
      <c r="M26" s="228">
        <v>20</v>
      </c>
      <c r="N26" s="250">
        <f>normuren!$B$29</f>
        <v>1.5</v>
      </c>
      <c r="O26" s="115"/>
      <c r="P26" s="286"/>
      <c r="Q26" s="119"/>
      <c r="R26" s="266"/>
      <c r="S26" s="119"/>
      <c r="T26" s="119"/>
      <c r="U26" s="286"/>
      <c r="V26" s="115"/>
      <c r="W26" s="286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286"/>
      <c r="AO26" s="115"/>
      <c r="AP26" s="115"/>
      <c r="AQ26" s="115"/>
      <c r="AR26" s="286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286"/>
      <c r="BL26" s="115"/>
      <c r="BM26" s="223">
        <f t="shared" si="1"/>
        <v>0</v>
      </c>
      <c r="BN26" s="224">
        <f t="shared" si="2"/>
        <v>0</v>
      </c>
      <c r="BO26" s="209" t="str">
        <f t="shared" si="3"/>
        <v>Oke</v>
      </c>
      <c r="BP26" s="6"/>
      <c r="BQ26" s="6"/>
      <c r="BR26" s="6"/>
      <c r="BS26" s="6"/>
      <c r="BT26" s="6"/>
      <c r="BU26" s="6"/>
      <c r="BV26" s="6"/>
      <c r="BW26" s="6"/>
      <c r="BX26" s="6"/>
      <c r="BY26" s="6"/>
    </row>
    <row r="27" spans="1:77" ht="12.75" customHeight="1" x14ac:dyDescent="0.3">
      <c r="A27" s="203" t="s">
        <v>364</v>
      </c>
      <c r="B27" s="203" t="s">
        <v>304</v>
      </c>
      <c r="C27" s="203" t="s">
        <v>246</v>
      </c>
      <c r="D27" s="204" t="s">
        <v>342</v>
      </c>
      <c r="E27" s="208"/>
      <c r="F27" s="24">
        <f t="shared" si="4"/>
        <v>0</v>
      </c>
      <c r="G27" s="249">
        <f t="shared" si="5"/>
        <v>0</v>
      </c>
      <c r="H27" s="101">
        <f t="shared" si="0"/>
        <v>0</v>
      </c>
      <c r="I27" s="79"/>
      <c r="J27" s="226">
        <f>I27*2*normuren!$B$26</f>
        <v>0</v>
      </c>
      <c r="K27" s="227">
        <f>IF(G27&lt;3,normuren!$B$8,IF(AND(G27&lt;6,G27&gt;2),normuren!$B$9,IF(AND(G27&lt;9,G27&gt;5),normuren!$B$10,normuren!$B$11)))</f>
        <v>15</v>
      </c>
      <c r="L27" s="228">
        <f>normuren!$B$24*2*12</f>
        <v>36</v>
      </c>
      <c r="M27" s="228">
        <f>normuren!$B$25*2*12</f>
        <v>45.599999999999994</v>
      </c>
      <c r="N27" s="250">
        <f>normuren!$B$29</f>
        <v>1.5</v>
      </c>
      <c r="O27" s="115"/>
      <c r="P27" s="286"/>
      <c r="Q27" s="119"/>
      <c r="R27" s="266"/>
      <c r="S27" s="119"/>
      <c r="T27" s="119"/>
      <c r="U27" s="286"/>
      <c r="V27" s="115"/>
      <c r="W27" s="286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286"/>
      <c r="AO27" s="115"/>
      <c r="AP27" s="115"/>
      <c r="AQ27" s="115"/>
      <c r="AR27" s="286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286"/>
      <c r="BL27" s="115"/>
      <c r="BM27" s="223">
        <f t="shared" si="1"/>
        <v>0</v>
      </c>
      <c r="BN27" s="224">
        <f t="shared" si="2"/>
        <v>0</v>
      </c>
      <c r="BO27" s="209" t="str">
        <f t="shared" si="3"/>
        <v>Oke</v>
      </c>
      <c r="BP27" s="6"/>
      <c r="BQ27" s="6"/>
      <c r="BR27" s="6"/>
      <c r="BS27" s="6"/>
      <c r="BT27" s="6"/>
      <c r="BU27" s="6"/>
      <c r="BV27" s="6"/>
      <c r="BW27" s="6"/>
      <c r="BX27" s="6"/>
      <c r="BY27" s="6"/>
    </row>
    <row r="28" spans="1:77" ht="12.75" customHeight="1" x14ac:dyDescent="0.3">
      <c r="A28" s="294" t="s">
        <v>365</v>
      </c>
      <c r="B28" s="294" t="s">
        <v>305</v>
      </c>
      <c r="C28" s="294" t="s">
        <v>27</v>
      </c>
      <c r="D28" s="294" t="s">
        <v>701</v>
      </c>
      <c r="E28" s="208"/>
      <c r="F28" s="24">
        <f t="shared" si="4"/>
        <v>0</v>
      </c>
      <c r="G28" s="249">
        <f t="shared" si="5"/>
        <v>0</v>
      </c>
      <c r="H28" s="101">
        <f t="shared" si="0"/>
        <v>0</v>
      </c>
      <c r="I28" s="79"/>
      <c r="J28" s="226">
        <f>I28*2*normuren!$B$26</f>
        <v>0</v>
      </c>
      <c r="K28" s="227">
        <f>IF(G28&lt;3,normuren!$B$8,IF(AND(G28&lt;6,G28&gt;2),normuren!$B$9,IF(AND(G28&lt;9,G28&gt;5),normuren!$B$10,normuren!$B$11)))</f>
        <v>15</v>
      </c>
      <c r="L28" s="228">
        <f>normuren!$B$24*2*12</f>
        <v>36</v>
      </c>
      <c r="M28" s="228">
        <f>normuren!$B$25*2*12</f>
        <v>45.599999999999994</v>
      </c>
      <c r="N28" s="250">
        <f>normuren!$B$29</f>
        <v>1.5</v>
      </c>
      <c r="O28" s="115"/>
      <c r="P28" s="286"/>
      <c r="Q28" s="119"/>
      <c r="R28" s="266"/>
      <c r="S28" s="119"/>
      <c r="T28" s="119"/>
      <c r="U28" s="286"/>
      <c r="V28" s="115"/>
      <c r="W28" s="286"/>
      <c r="X28" s="115"/>
      <c r="Y28" s="115"/>
      <c r="Z28" s="115"/>
      <c r="AA28" s="115"/>
      <c r="AB28" s="115"/>
      <c r="AC28" s="115"/>
      <c r="AD28" s="115"/>
      <c r="AE28" s="288">
        <v>1</v>
      </c>
      <c r="AF28" s="115"/>
      <c r="AG28" s="288">
        <v>1</v>
      </c>
      <c r="AH28" s="115"/>
      <c r="AI28" s="115"/>
      <c r="AJ28" s="115"/>
      <c r="AK28" s="115"/>
      <c r="AL28" s="115"/>
      <c r="AM28" s="115"/>
      <c r="AN28" s="286"/>
      <c r="AO28" s="115"/>
      <c r="AP28" s="115"/>
      <c r="AQ28" s="115"/>
      <c r="AR28" s="286"/>
      <c r="AS28" s="115"/>
      <c r="AT28" s="115"/>
      <c r="AU28" s="115"/>
      <c r="AV28" s="115"/>
      <c r="AW28" s="115"/>
      <c r="AX28" s="288" t="s">
        <v>696</v>
      </c>
      <c r="AY28" s="115"/>
      <c r="AZ28" s="115"/>
      <c r="BA28" s="115"/>
      <c r="BB28" s="115"/>
      <c r="BC28" s="115"/>
      <c r="BD28" s="115"/>
      <c r="BE28" s="115"/>
      <c r="BF28" s="115"/>
      <c r="BG28" s="115"/>
      <c r="BH28" s="288">
        <v>2</v>
      </c>
      <c r="BI28" s="115"/>
      <c r="BJ28" s="115"/>
      <c r="BK28" s="286"/>
      <c r="BL28" s="288">
        <v>2</v>
      </c>
      <c r="BM28" s="223">
        <f t="shared" si="1"/>
        <v>6</v>
      </c>
      <c r="BN28" s="224">
        <f t="shared" si="2"/>
        <v>-6</v>
      </c>
      <c r="BO28" s="209" t="str">
        <f t="shared" si="3"/>
        <v>Oke</v>
      </c>
      <c r="BP28" s="6"/>
      <c r="BQ28" s="6"/>
      <c r="BR28" s="6"/>
      <c r="BS28" s="6"/>
      <c r="BT28" s="6"/>
      <c r="BU28" s="6"/>
      <c r="BV28" s="6"/>
      <c r="BW28" s="6"/>
      <c r="BX28" s="6"/>
      <c r="BY28" s="6"/>
    </row>
    <row r="29" spans="1:77" ht="12.75" customHeight="1" x14ac:dyDescent="0.3">
      <c r="A29" s="294" t="s">
        <v>366</v>
      </c>
      <c r="B29" s="294" t="s">
        <v>306</v>
      </c>
      <c r="C29" s="294" t="s">
        <v>27</v>
      </c>
      <c r="D29" s="294" t="s">
        <v>208</v>
      </c>
      <c r="E29" s="208"/>
      <c r="F29" s="24">
        <f>$E29/12</f>
        <v>0</v>
      </c>
      <c r="G29" s="249">
        <f t="shared" si="5"/>
        <v>0</v>
      </c>
      <c r="H29" s="101">
        <f t="shared" si="0"/>
        <v>0</v>
      </c>
      <c r="I29" s="79"/>
      <c r="J29" s="226">
        <f>I29*2*normuren!$B$26</f>
        <v>0</v>
      </c>
      <c r="K29" s="227">
        <f>IF(G29&lt;3,normuren!$B$8,IF(AND(G29&lt;6,G29&gt;2),normuren!$B$9,IF(AND(G29&lt;9,G29&gt;5),normuren!$B$10,normuren!$B$11)))</f>
        <v>15</v>
      </c>
      <c r="L29" s="228">
        <f>normuren!$B$27</f>
        <v>20</v>
      </c>
      <c r="M29" s="228">
        <v>20</v>
      </c>
      <c r="N29" s="250">
        <f>normuren!$B$29</f>
        <v>1.5</v>
      </c>
      <c r="O29" s="115"/>
      <c r="P29" s="286"/>
      <c r="Q29" s="119"/>
      <c r="R29" s="266"/>
      <c r="S29" s="119"/>
      <c r="T29" s="119"/>
      <c r="U29" s="286"/>
      <c r="V29" s="288">
        <v>2</v>
      </c>
      <c r="W29" s="286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286"/>
      <c r="AO29" s="115"/>
      <c r="AP29" s="115"/>
      <c r="AQ29" s="115"/>
      <c r="AR29" s="286"/>
      <c r="AS29" s="115"/>
      <c r="AT29" s="115"/>
      <c r="AU29" s="115"/>
      <c r="AV29" s="288">
        <v>3</v>
      </c>
      <c r="AW29" s="115"/>
      <c r="AX29" s="288" t="s">
        <v>696</v>
      </c>
      <c r="AY29" s="115"/>
      <c r="AZ29" s="115"/>
      <c r="BA29" s="115"/>
      <c r="BB29" s="115"/>
      <c r="BC29" s="290">
        <v>2</v>
      </c>
      <c r="BD29" s="288">
        <v>2</v>
      </c>
      <c r="BE29" s="288">
        <v>3</v>
      </c>
      <c r="BF29" s="115"/>
      <c r="BG29" s="115"/>
      <c r="BH29" s="115"/>
      <c r="BI29" s="290">
        <v>2</v>
      </c>
      <c r="BJ29" s="290" t="s">
        <v>696</v>
      </c>
      <c r="BK29" s="286"/>
      <c r="BL29" s="173"/>
      <c r="BM29" s="223">
        <f t="shared" si="1"/>
        <v>14</v>
      </c>
      <c r="BN29" s="224">
        <f t="shared" si="2"/>
        <v>-14</v>
      </c>
      <c r="BO29" s="209" t="str">
        <f t="shared" si="3"/>
        <v>Oke</v>
      </c>
      <c r="BP29" s="6"/>
      <c r="BQ29" s="6"/>
      <c r="BR29" s="6"/>
      <c r="BS29" s="6"/>
      <c r="BT29" s="6"/>
      <c r="BU29" s="6"/>
      <c r="BV29" s="6"/>
      <c r="BW29" s="6"/>
      <c r="BX29" s="6"/>
      <c r="BY29" s="6"/>
    </row>
    <row r="30" spans="1:77" ht="12.75" customHeight="1" x14ac:dyDescent="0.3">
      <c r="A30" s="294" t="s">
        <v>367</v>
      </c>
      <c r="B30" s="294" t="s">
        <v>307</v>
      </c>
      <c r="C30" s="294" t="s">
        <v>27</v>
      </c>
      <c r="D30" s="294" t="s">
        <v>208</v>
      </c>
      <c r="E30" s="208"/>
      <c r="F30" s="24">
        <f>$E30/12</f>
        <v>0</v>
      </c>
      <c r="G30" s="249">
        <f t="shared" si="5"/>
        <v>0</v>
      </c>
      <c r="H30" s="101">
        <f t="shared" si="0"/>
        <v>0</v>
      </c>
      <c r="I30" s="79"/>
      <c r="J30" s="226">
        <f>I30*2*normuren!$B$26</f>
        <v>0</v>
      </c>
      <c r="K30" s="227">
        <f>IF(G30&lt;3,normuren!$B$8,IF(AND(G30&lt;6,G30&gt;2),normuren!$B$9,IF(AND(G30&lt;9,G30&gt;5),normuren!$B$10,normuren!$B$11)))</f>
        <v>15</v>
      </c>
      <c r="L30" s="228">
        <f>normuren!$B$27</f>
        <v>20</v>
      </c>
      <c r="M30" s="228">
        <v>20</v>
      </c>
      <c r="N30" s="250">
        <f>normuren!$B$29</f>
        <v>1.5</v>
      </c>
      <c r="O30" s="115"/>
      <c r="P30" s="286"/>
      <c r="Q30" s="119"/>
      <c r="R30" s="266"/>
      <c r="S30" s="119"/>
      <c r="T30" s="119"/>
      <c r="U30" s="286"/>
      <c r="V30" s="289" t="s">
        <v>695</v>
      </c>
      <c r="W30" s="286"/>
      <c r="X30" s="288" t="s">
        <v>696</v>
      </c>
      <c r="Y30" s="115"/>
      <c r="Z30" s="115"/>
      <c r="AA30" s="115"/>
      <c r="AB30" s="115"/>
      <c r="AC30" s="115"/>
      <c r="AD30" s="288">
        <v>1</v>
      </c>
      <c r="AE30" s="115"/>
      <c r="AF30" s="115"/>
      <c r="AG30" s="115"/>
      <c r="AH30" s="115"/>
      <c r="AI30" s="115"/>
      <c r="AJ30" s="115"/>
      <c r="AK30" s="115"/>
      <c r="AL30" s="115"/>
      <c r="AM30" s="115"/>
      <c r="AN30" s="286"/>
      <c r="AO30" s="115"/>
      <c r="AP30" s="115"/>
      <c r="AQ30" s="115"/>
      <c r="AR30" s="286"/>
      <c r="AS30" s="115"/>
      <c r="AT30" s="288">
        <v>3</v>
      </c>
      <c r="AU30" s="115"/>
      <c r="AV30" s="115"/>
      <c r="AW30" s="115"/>
      <c r="AX30" s="284">
        <v>2</v>
      </c>
      <c r="AY30" s="115"/>
      <c r="AZ30" s="115"/>
      <c r="BA30" s="115"/>
      <c r="BB30" s="115"/>
      <c r="BC30" s="115"/>
      <c r="BD30" s="115"/>
      <c r="BE30" s="115"/>
      <c r="BF30" s="115"/>
      <c r="BG30" s="115"/>
      <c r="BH30" s="284">
        <v>3</v>
      </c>
      <c r="BI30" s="115"/>
      <c r="BJ30" s="115"/>
      <c r="BK30" s="286"/>
      <c r="BL30" s="115"/>
      <c r="BM30" s="223">
        <f t="shared" si="1"/>
        <v>9</v>
      </c>
      <c r="BN30" s="224">
        <f t="shared" si="2"/>
        <v>-9</v>
      </c>
      <c r="BO30" s="209" t="str">
        <f t="shared" si="3"/>
        <v>Oke</v>
      </c>
      <c r="BP30" s="6"/>
      <c r="BQ30" s="6"/>
      <c r="BR30" s="6"/>
      <c r="BS30" s="6"/>
      <c r="BT30" s="6"/>
      <c r="BU30" s="6"/>
      <c r="BV30" s="6"/>
      <c r="BW30" s="6"/>
      <c r="BX30" s="6"/>
      <c r="BY30" s="6"/>
    </row>
    <row r="31" spans="1:77" ht="12.75" customHeight="1" x14ac:dyDescent="0.3">
      <c r="A31" s="203" t="s">
        <v>368</v>
      </c>
      <c r="B31" s="203" t="s">
        <v>308</v>
      </c>
      <c r="C31" s="203" t="s">
        <v>246</v>
      </c>
      <c r="D31" s="203" t="s">
        <v>620</v>
      </c>
      <c r="E31" s="208"/>
      <c r="F31" s="24">
        <f t="shared" ref="F31:F52" si="6">E31/12</f>
        <v>0</v>
      </c>
      <c r="G31" s="249">
        <f t="shared" si="5"/>
        <v>0</v>
      </c>
      <c r="H31" s="101">
        <f t="shared" si="0"/>
        <v>0</v>
      </c>
      <c r="I31" s="79"/>
      <c r="J31" s="226">
        <f>I31*2*normuren!$B$26</f>
        <v>0</v>
      </c>
      <c r="K31" s="227">
        <f>IF(G31&lt;3,normuren!$B$8,IF(AND(G31&lt;6,G31&gt;2),normuren!$B$9,IF(AND(G31&lt;9,G31&gt;5),normuren!$B$10,normuren!$B$11)))</f>
        <v>15</v>
      </c>
      <c r="L31" s="228">
        <f>normuren!$B$24*2*12</f>
        <v>36</v>
      </c>
      <c r="M31" s="228">
        <f>normuren!$B$25*2*12</f>
        <v>45.599999999999994</v>
      </c>
      <c r="N31" s="250">
        <f>normuren!$B$29</f>
        <v>1.5</v>
      </c>
      <c r="O31" s="115"/>
      <c r="P31" s="286"/>
      <c r="Q31" s="119"/>
      <c r="R31" s="266"/>
      <c r="S31" s="119"/>
      <c r="T31" s="119"/>
      <c r="U31" s="286"/>
      <c r="V31" s="115"/>
      <c r="W31" s="286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286"/>
      <c r="AO31" s="115"/>
      <c r="AP31" s="115"/>
      <c r="AQ31" s="115"/>
      <c r="AR31" s="286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286"/>
      <c r="BL31" s="115"/>
      <c r="BM31" s="223">
        <f t="shared" si="1"/>
        <v>0</v>
      </c>
      <c r="BN31" s="224">
        <f t="shared" si="2"/>
        <v>0</v>
      </c>
      <c r="BO31" s="209" t="str">
        <f t="shared" si="3"/>
        <v>Oke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</row>
    <row r="32" spans="1:77" ht="12.75" customHeight="1" x14ac:dyDescent="0.3">
      <c r="A32" s="294" t="s">
        <v>369</v>
      </c>
      <c r="B32" s="294" t="s">
        <v>309</v>
      </c>
      <c r="C32" s="294" t="s">
        <v>27</v>
      </c>
      <c r="D32" s="294" t="s">
        <v>274</v>
      </c>
      <c r="E32" s="208"/>
      <c r="F32" s="24">
        <f t="shared" si="6"/>
        <v>0</v>
      </c>
      <c r="G32" s="249">
        <f t="shared" si="5"/>
        <v>0</v>
      </c>
      <c r="H32" s="101">
        <f t="shared" si="0"/>
        <v>0</v>
      </c>
      <c r="I32" s="79"/>
      <c r="J32" s="226">
        <f>I32*2*normuren!$B$26</f>
        <v>0</v>
      </c>
      <c r="K32" s="227">
        <f>IF(G32&lt;3,normuren!$B$8,IF(AND(G32&lt;6,G32&gt;2),normuren!$B$9,IF(AND(G32&lt;9,G32&gt;5),normuren!$B$10,normuren!$B$11)))</f>
        <v>15</v>
      </c>
      <c r="L32" s="228">
        <f>normuren!$B$24*2*12</f>
        <v>36</v>
      </c>
      <c r="M32" s="228">
        <f>normuren!$B$25*2*12</f>
        <v>45.599999999999994</v>
      </c>
      <c r="N32" s="250">
        <f>normuren!$B$29</f>
        <v>1.5</v>
      </c>
      <c r="O32" s="252"/>
      <c r="P32" s="303"/>
      <c r="Q32" s="119"/>
      <c r="R32" s="266"/>
      <c r="S32" s="119"/>
      <c r="T32" s="119"/>
      <c r="U32" s="286"/>
      <c r="V32" s="115"/>
      <c r="W32" s="287"/>
      <c r="X32" s="173"/>
      <c r="Y32" s="115"/>
      <c r="Z32" s="115"/>
      <c r="AA32" s="115"/>
      <c r="AB32" s="173"/>
      <c r="AC32" s="173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286"/>
      <c r="AO32" s="115"/>
      <c r="AP32" s="115"/>
      <c r="AQ32" s="288">
        <v>1</v>
      </c>
      <c r="AR32" s="286"/>
      <c r="AS32" s="115"/>
      <c r="AT32" s="115"/>
      <c r="AU32" s="115"/>
      <c r="AV32" s="288">
        <v>3</v>
      </c>
      <c r="AW32" s="115"/>
      <c r="AX32" s="115"/>
      <c r="AY32" s="115"/>
      <c r="AZ32" s="115"/>
      <c r="BA32" s="115"/>
      <c r="BB32" s="115"/>
      <c r="BC32" s="288" t="s">
        <v>696</v>
      </c>
      <c r="BD32" s="288">
        <v>2</v>
      </c>
      <c r="BE32" s="115"/>
      <c r="BF32" s="115"/>
      <c r="BG32" s="115"/>
      <c r="BH32" s="115"/>
      <c r="BI32" s="115"/>
      <c r="BJ32" s="288" t="s">
        <v>696</v>
      </c>
      <c r="BK32" s="286"/>
      <c r="BL32" s="115"/>
      <c r="BM32" s="223">
        <f t="shared" si="1"/>
        <v>6</v>
      </c>
      <c r="BN32" s="224">
        <f t="shared" si="2"/>
        <v>-6</v>
      </c>
      <c r="BO32" s="209" t="str">
        <f t="shared" si="3"/>
        <v>Oke</v>
      </c>
      <c r="BP32" s="6"/>
      <c r="BQ32" s="6"/>
      <c r="BR32" s="6"/>
      <c r="BS32" s="6"/>
      <c r="BT32" s="6"/>
      <c r="BU32" s="6"/>
      <c r="BV32" s="6"/>
      <c r="BW32" s="6"/>
      <c r="BX32" s="6"/>
      <c r="BY32" s="6"/>
    </row>
    <row r="33" spans="1:77" ht="12.75" customHeight="1" x14ac:dyDescent="0.3">
      <c r="A33" s="294" t="s">
        <v>310</v>
      </c>
      <c r="B33" s="294" t="s">
        <v>311</v>
      </c>
      <c r="C33" s="294" t="s">
        <v>27</v>
      </c>
      <c r="D33" s="301" t="s">
        <v>244</v>
      </c>
      <c r="E33" s="208"/>
      <c r="F33" s="24">
        <f t="shared" si="6"/>
        <v>0</v>
      </c>
      <c r="G33" s="249">
        <f t="shared" si="5"/>
        <v>0</v>
      </c>
      <c r="H33" s="101">
        <f t="shared" si="0"/>
        <v>0</v>
      </c>
      <c r="I33" s="79"/>
      <c r="J33" s="226">
        <f>I33*2*normuren!$B$26</f>
        <v>0</v>
      </c>
      <c r="K33" s="227">
        <f>IF(G33&lt;3,normuren!$B$8,IF(AND(G33&lt;6,G33&gt;2),normuren!$B$9,IF(AND(G33&lt;9,G33&gt;5),normuren!$B$10,normuren!$B$11)))</f>
        <v>15</v>
      </c>
      <c r="L33" s="228">
        <f>normuren!$B$24*2*12</f>
        <v>36</v>
      </c>
      <c r="M33" s="228">
        <f>normuren!$B$25*2*12</f>
        <v>45.599999999999994</v>
      </c>
      <c r="N33" s="250">
        <f>normuren!$B$29</f>
        <v>1.5</v>
      </c>
      <c r="O33" s="115"/>
      <c r="P33" s="286"/>
      <c r="Q33" s="119"/>
      <c r="R33" s="266"/>
      <c r="S33" s="119"/>
      <c r="T33" s="119"/>
      <c r="U33" s="286"/>
      <c r="V33" s="115"/>
      <c r="W33" s="286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288" t="s">
        <v>696</v>
      </c>
      <c r="AN33" s="287"/>
      <c r="AO33" s="173"/>
      <c r="AP33" s="115"/>
      <c r="AQ33" s="115"/>
      <c r="AR33" s="286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286"/>
      <c r="BL33" s="115"/>
      <c r="BM33" s="223">
        <f t="shared" si="1"/>
        <v>0</v>
      </c>
      <c r="BN33" s="224">
        <f t="shared" si="2"/>
        <v>0</v>
      </c>
      <c r="BO33" s="209" t="str">
        <f t="shared" si="3"/>
        <v>Oke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</row>
    <row r="34" spans="1:77" ht="12.75" customHeight="1" x14ac:dyDescent="0.3">
      <c r="A34" s="294" t="s">
        <v>370</v>
      </c>
      <c r="B34" s="294" t="s">
        <v>312</v>
      </c>
      <c r="C34" s="294" t="s">
        <v>27</v>
      </c>
      <c r="D34" s="302" t="s">
        <v>343</v>
      </c>
      <c r="E34" s="208"/>
      <c r="F34" s="24">
        <f t="shared" si="6"/>
        <v>0</v>
      </c>
      <c r="G34" s="249">
        <f t="shared" si="5"/>
        <v>0</v>
      </c>
      <c r="H34" s="101">
        <f t="shared" si="0"/>
        <v>0</v>
      </c>
      <c r="I34" s="79"/>
      <c r="J34" s="226">
        <f>I34*2*normuren!$B$26</f>
        <v>0</v>
      </c>
      <c r="K34" s="227">
        <f>IF(G34&lt;3,normuren!$B$8,IF(AND(G34&lt;6,G34&gt;2),normuren!$B$9,IF(AND(G34&lt;9,G34&gt;5),normuren!$B$10,normuren!$B$11)))</f>
        <v>15</v>
      </c>
      <c r="L34" s="228">
        <f>normuren!$B$24*2*12</f>
        <v>36</v>
      </c>
      <c r="M34" s="228">
        <f>normuren!$B$25*2*12</f>
        <v>45.599999999999994</v>
      </c>
      <c r="N34" s="250">
        <f>normuren!$B$29</f>
        <v>1.5</v>
      </c>
      <c r="O34" s="115"/>
      <c r="P34" s="286"/>
      <c r="Q34" s="119"/>
      <c r="R34" s="266"/>
      <c r="S34" s="119"/>
      <c r="T34" s="267" t="s">
        <v>697</v>
      </c>
      <c r="U34" s="286"/>
      <c r="V34" s="115"/>
      <c r="W34" s="286"/>
      <c r="X34" s="115"/>
      <c r="Y34" s="173"/>
      <c r="Z34" s="173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286"/>
      <c r="AO34" s="115"/>
      <c r="AP34" s="115"/>
      <c r="AQ34" s="115"/>
      <c r="AR34" s="286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286"/>
      <c r="BL34" s="115"/>
      <c r="BM34" s="223">
        <f t="shared" si="1"/>
        <v>0</v>
      </c>
      <c r="BN34" s="224">
        <f t="shared" si="2"/>
        <v>0</v>
      </c>
      <c r="BO34" s="209" t="str">
        <f t="shared" si="3"/>
        <v>Oke</v>
      </c>
      <c r="BP34" s="6"/>
      <c r="BQ34" s="6"/>
      <c r="BR34" s="6"/>
      <c r="BS34" s="6"/>
      <c r="BT34" s="6"/>
      <c r="BU34" s="6"/>
      <c r="BV34" s="6"/>
      <c r="BW34" s="6"/>
      <c r="BX34" s="6"/>
      <c r="BY34" s="6"/>
    </row>
    <row r="35" spans="1:77" ht="12.75" customHeight="1" x14ac:dyDescent="0.3">
      <c r="A35" s="294" t="s">
        <v>371</v>
      </c>
      <c r="B35" s="294" t="s">
        <v>313</v>
      </c>
      <c r="C35" s="294" t="s">
        <v>27</v>
      </c>
      <c r="D35" s="294" t="s">
        <v>214</v>
      </c>
      <c r="E35" s="208"/>
      <c r="F35" s="24">
        <f t="shared" si="6"/>
        <v>0</v>
      </c>
      <c r="G35" s="249">
        <f t="shared" si="5"/>
        <v>0</v>
      </c>
      <c r="H35" s="101">
        <f t="shared" si="0"/>
        <v>0</v>
      </c>
      <c r="I35" s="79"/>
      <c r="J35" s="226">
        <f>I35*2*normuren!$B$26</f>
        <v>0</v>
      </c>
      <c r="K35" s="227">
        <f>IF(G35&lt;3,normuren!$B$8,IF(AND(G35&lt;6,G35&gt;2),normuren!$B$9,IF(AND(G35&lt;9,G35&gt;5),normuren!$B$10,normuren!$B$11)))</f>
        <v>15</v>
      </c>
      <c r="L35" s="228">
        <f>normuren!$B$24*2*12</f>
        <v>36</v>
      </c>
      <c r="M35" s="228">
        <f>normuren!$B$25*2*12</f>
        <v>45.599999999999994</v>
      </c>
      <c r="N35" s="250">
        <f>normuren!$B$29</f>
        <v>1.5</v>
      </c>
      <c r="O35" s="115"/>
      <c r="P35" s="286"/>
      <c r="Q35" s="119"/>
      <c r="R35" s="266"/>
      <c r="S35" s="119"/>
      <c r="T35" s="119"/>
      <c r="U35" s="286"/>
      <c r="V35" s="115"/>
      <c r="W35" s="286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288" t="s">
        <v>703</v>
      </c>
      <c r="AI35" s="288"/>
      <c r="AJ35" s="115"/>
      <c r="AK35" s="115"/>
      <c r="AL35" s="115"/>
      <c r="AM35" s="115"/>
      <c r="AN35" s="286"/>
      <c r="AO35" s="115"/>
      <c r="AP35" s="115"/>
      <c r="AQ35" s="115"/>
      <c r="AR35" s="286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286"/>
      <c r="BL35" s="115"/>
      <c r="BM35" s="223">
        <f t="shared" si="1"/>
        <v>0</v>
      </c>
      <c r="BN35" s="224">
        <f t="shared" si="2"/>
        <v>0</v>
      </c>
      <c r="BO35" s="209" t="str">
        <f t="shared" si="3"/>
        <v>Oke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</row>
    <row r="36" spans="1:77" ht="12.75" customHeight="1" x14ac:dyDescent="0.3">
      <c r="A36" s="294" t="s">
        <v>314</v>
      </c>
      <c r="B36" s="294" t="s">
        <v>315</v>
      </c>
      <c r="C36" s="294" t="s">
        <v>27</v>
      </c>
      <c r="D36" s="294" t="s">
        <v>238</v>
      </c>
      <c r="E36" s="208"/>
      <c r="F36" s="24">
        <f t="shared" si="6"/>
        <v>0</v>
      </c>
      <c r="G36" s="249">
        <f t="shared" si="5"/>
        <v>0</v>
      </c>
      <c r="H36" s="101">
        <f t="shared" si="0"/>
        <v>0</v>
      </c>
      <c r="I36" s="79"/>
      <c r="J36" s="226">
        <f>I36*2*normuren!$B$26</f>
        <v>0</v>
      </c>
      <c r="K36" s="227">
        <f>IF(G36&lt;3,normuren!$B$8,IF(AND(G36&lt;6,G36&gt;2),normuren!$B$9,IF(AND(G36&lt;9,G36&gt;5),normuren!$B$10,normuren!$B$11)))</f>
        <v>15</v>
      </c>
      <c r="L36" s="228">
        <f>normuren!$B$24*2*12</f>
        <v>36</v>
      </c>
      <c r="M36" s="228">
        <f>normuren!$B$25*2*12</f>
        <v>45.599999999999994</v>
      </c>
      <c r="N36" s="250">
        <f>normuren!$B$29</f>
        <v>1.5</v>
      </c>
      <c r="O36" s="115"/>
      <c r="P36" s="286"/>
      <c r="Q36" s="119"/>
      <c r="R36" s="266"/>
      <c r="S36" s="119"/>
      <c r="T36" s="119"/>
      <c r="U36" s="286"/>
      <c r="V36" s="115"/>
      <c r="W36" s="286"/>
      <c r="X36" s="115"/>
      <c r="Y36" s="288">
        <v>1</v>
      </c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286"/>
      <c r="AO36" s="115"/>
      <c r="AP36" s="115"/>
      <c r="AQ36" s="115"/>
      <c r="AR36" s="286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288">
        <v>3</v>
      </c>
      <c r="BJ36" s="115" t="s">
        <v>717</v>
      </c>
      <c r="BK36" s="286"/>
      <c r="BL36" s="115"/>
      <c r="BM36" s="223">
        <f t="shared" si="1"/>
        <v>4</v>
      </c>
      <c r="BN36" s="224">
        <f t="shared" si="2"/>
        <v>-4</v>
      </c>
      <c r="BO36" s="209" t="str">
        <f t="shared" si="3"/>
        <v>Oke</v>
      </c>
      <c r="BP36" s="6"/>
      <c r="BQ36" s="6"/>
      <c r="BR36" s="6"/>
      <c r="BS36" s="6"/>
      <c r="BT36" s="6"/>
      <c r="BU36" s="6"/>
      <c r="BV36" s="6"/>
      <c r="BW36" s="6"/>
      <c r="BX36" s="6"/>
      <c r="BY36" s="6"/>
    </row>
    <row r="37" spans="1:77" ht="12.75" customHeight="1" x14ac:dyDescent="0.3">
      <c r="A37" s="203" t="s">
        <v>316</v>
      </c>
      <c r="B37" s="203" t="s">
        <v>317</v>
      </c>
      <c r="C37" s="203" t="s">
        <v>250</v>
      </c>
      <c r="D37" s="207" t="s">
        <v>228</v>
      </c>
      <c r="E37" s="208"/>
      <c r="F37" s="24">
        <f t="shared" si="6"/>
        <v>0</v>
      </c>
      <c r="G37" s="249">
        <f t="shared" si="5"/>
        <v>0</v>
      </c>
      <c r="H37" s="101">
        <f t="shared" si="0"/>
        <v>0</v>
      </c>
      <c r="I37" s="79"/>
      <c r="J37" s="226">
        <f>I37*2*normuren!$B$26</f>
        <v>0</v>
      </c>
      <c r="K37" s="227">
        <f>IF(G37&lt;3,normuren!$B$8,IF(AND(G37&lt;6,G37&gt;2),normuren!$B$9,IF(AND(G37&lt;9,G37&gt;5),normuren!$B$10,normuren!$B$11)))</f>
        <v>15</v>
      </c>
      <c r="L37" s="228">
        <f>normuren!$B$24*2*12</f>
        <v>36</v>
      </c>
      <c r="M37" s="228">
        <f>normuren!$B$25*2*12</f>
        <v>45.599999999999994</v>
      </c>
      <c r="N37" s="250">
        <f>normuren!$B$29</f>
        <v>1.5</v>
      </c>
      <c r="O37" s="115"/>
      <c r="P37" s="286"/>
      <c r="Q37" s="119"/>
      <c r="R37" s="266"/>
      <c r="S37" s="119"/>
      <c r="T37" s="119"/>
      <c r="U37" s="286"/>
      <c r="V37" s="115"/>
      <c r="W37" s="286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286"/>
      <c r="AO37" s="115"/>
      <c r="AP37" s="115"/>
      <c r="AQ37" s="115"/>
      <c r="AR37" s="286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73"/>
      <c r="BD37" s="115"/>
      <c r="BE37" s="115"/>
      <c r="BF37" s="115"/>
      <c r="BG37" s="115"/>
      <c r="BH37" s="115"/>
      <c r="BI37" s="115"/>
      <c r="BJ37" s="115"/>
      <c r="BK37" s="287"/>
      <c r="BL37" s="173"/>
      <c r="BM37" s="223">
        <f t="shared" si="1"/>
        <v>0</v>
      </c>
      <c r="BN37" s="224">
        <f t="shared" si="2"/>
        <v>0</v>
      </c>
      <c r="BO37" s="209" t="str">
        <f t="shared" si="3"/>
        <v>Oke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</row>
    <row r="38" spans="1:77" ht="12.75" customHeight="1" x14ac:dyDescent="0.3">
      <c r="A38" s="203" t="s">
        <v>318</v>
      </c>
      <c r="B38" s="203" t="s">
        <v>319</v>
      </c>
      <c r="C38" s="203" t="s">
        <v>250</v>
      </c>
      <c r="D38" s="203" t="s">
        <v>344</v>
      </c>
      <c r="E38" s="208"/>
      <c r="F38" s="24">
        <f t="shared" si="6"/>
        <v>0</v>
      </c>
      <c r="G38" s="249">
        <f>ROUNDUP(F38,0)</f>
        <v>0</v>
      </c>
      <c r="H38" s="101">
        <f t="shared" si="0"/>
        <v>0</v>
      </c>
      <c r="I38" s="79"/>
      <c r="J38" s="226">
        <f>I38*2*normuren!$B$26</f>
        <v>0</v>
      </c>
      <c r="K38" s="227">
        <f>IF(G38&lt;3,normuren!$B$8,IF(AND(G38&lt;6,G38&gt;2),normuren!$B$9,IF(AND(G38&lt;9,G38&gt;5),normuren!$B$10,normuren!$B$11)))</f>
        <v>15</v>
      </c>
      <c r="L38" s="228">
        <f>normuren!$B$24*2*12</f>
        <v>36</v>
      </c>
      <c r="M38" s="228">
        <f>normuren!$B$25*2*12</f>
        <v>45.599999999999994</v>
      </c>
      <c r="N38" s="250">
        <f>normuren!$B$29</f>
        <v>1.5</v>
      </c>
      <c r="O38" s="115" t="s">
        <v>696</v>
      </c>
      <c r="P38" s="286"/>
      <c r="Q38" s="119"/>
      <c r="R38" s="266"/>
      <c r="S38" s="119"/>
      <c r="T38" s="119"/>
      <c r="U38" s="286"/>
      <c r="V38" s="115"/>
      <c r="W38" s="286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286"/>
      <c r="AO38" s="115"/>
      <c r="AP38" s="115"/>
      <c r="AQ38" s="115"/>
      <c r="AR38" s="286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286"/>
      <c r="BL38" s="115"/>
      <c r="BM38" s="223">
        <f t="shared" si="1"/>
        <v>0</v>
      </c>
      <c r="BN38" s="224">
        <f t="shared" si="2"/>
        <v>0</v>
      </c>
      <c r="BO38" s="209" t="str">
        <f t="shared" si="3"/>
        <v>Oke</v>
      </c>
      <c r="BP38" s="6"/>
      <c r="BQ38" s="6"/>
      <c r="BR38" s="6"/>
      <c r="BS38" s="6"/>
      <c r="BT38" s="6"/>
      <c r="BU38" s="6"/>
      <c r="BV38" s="6"/>
      <c r="BW38" s="6"/>
      <c r="BX38" s="6"/>
      <c r="BY38" s="6"/>
    </row>
    <row r="39" spans="1:77" ht="12.75" customHeight="1" x14ac:dyDescent="0.3">
      <c r="A39" s="203" t="s">
        <v>385</v>
      </c>
      <c r="B39" s="203" t="s">
        <v>320</v>
      </c>
      <c r="C39" s="203" t="s">
        <v>245</v>
      </c>
      <c r="D39" s="205" t="s">
        <v>665</v>
      </c>
      <c r="E39" s="208"/>
      <c r="F39" s="24">
        <f t="shared" si="6"/>
        <v>0</v>
      </c>
      <c r="G39" s="249">
        <f>ROUNDUP(F39,0)</f>
        <v>0</v>
      </c>
      <c r="H39" s="101">
        <f t="shared" si="0"/>
        <v>0</v>
      </c>
      <c r="I39" s="79"/>
      <c r="J39" s="226">
        <f>I39*2*normuren!$B$26</f>
        <v>0</v>
      </c>
      <c r="K39" s="227">
        <f>IF(G39&lt;3,normuren!$B$8,IF(AND(G39&lt;6,G39&gt;2),normuren!$B$9,IF(AND(G39&lt;9,G39&gt;5),normuren!$B$10,normuren!$B$11)))</f>
        <v>15</v>
      </c>
      <c r="L39" s="228">
        <f>normuren!$B$24*2*12</f>
        <v>36</v>
      </c>
      <c r="M39" s="228">
        <f>normuren!$B$25*2*12</f>
        <v>45.599999999999994</v>
      </c>
      <c r="N39" s="250">
        <f>normuren!$B$29</f>
        <v>1.5</v>
      </c>
      <c r="O39" s="115"/>
      <c r="P39" s="286"/>
      <c r="Q39" s="119"/>
      <c r="R39" s="266"/>
      <c r="S39" s="119"/>
      <c r="T39" s="119"/>
      <c r="U39" s="286"/>
      <c r="V39" s="115"/>
      <c r="W39" s="286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286"/>
      <c r="AO39" s="115"/>
      <c r="AP39" s="115"/>
      <c r="AQ39" s="115"/>
      <c r="AR39" s="286"/>
      <c r="AS39" s="115"/>
      <c r="AT39" s="115"/>
      <c r="AU39" s="115"/>
      <c r="AV39" s="173"/>
      <c r="AW39" s="173"/>
      <c r="AX39" s="173"/>
      <c r="AY39" s="173"/>
      <c r="AZ39" s="173"/>
      <c r="BA39" s="173"/>
      <c r="BB39" s="173"/>
      <c r="BC39" s="115"/>
      <c r="BD39" s="173"/>
      <c r="BE39" s="173"/>
      <c r="BF39" s="173"/>
      <c r="BG39" s="173"/>
      <c r="BH39" s="173"/>
      <c r="BI39" s="115"/>
      <c r="BJ39" s="115"/>
      <c r="BK39" s="286"/>
      <c r="BL39" s="115"/>
      <c r="BM39" s="223">
        <f t="shared" si="1"/>
        <v>0</v>
      </c>
      <c r="BN39" s="224">
        <f t="shared" si="2"/>
        <v>0</v>
      </c>
      <c r="BO39" s="209" t="str">
        <f t="shared" si="3"/>
        <v>Oke</v>
      </c>
      <c r="BP39" s="6"/>
      <c r="BQ39" s="6"/>
      <c r="BR39" s="6"/>
      <c r="BS39" s="6"/>
      <c r="BT39" s="6"/>
      <c r="BU39" s="6"/>
      <c r="BV39" s="6"/>
      <c r="BW39" s="6"/>
      <c r="BX39" s="6"/>
      <c r="BY39" s="6"/>
    </row>
    <row r="40" spans="1:77" ht="12.75" customHeight="1" x14ac:dyDescent="0.3">
      <c r="A40" s="203" t="s">
        <v>372</v>
      </c>
      <c r="B40" s="203" t="s">
        <v>321</v>
      </c>
      <c r="C40" s="203" t="s">
        <v>248</v>
      </c>
      <c r="D40" s="205" t="s">
        <v>720</v>
      </c>
      <c r="E40" s="208"/>
      <c r="F40" s="24">
        <f t="shared" si="6"/>
        <v>0</v>
      </c>
      <c r="G40" s="249">
        <f>ROUNDUP(F40,0)</f>
        <v>0</v>
      </c>
      <c r="H40" s="101">
        <f t="shared" si="0"/>
        <v>0</v>
      </c>
      <c r="I40" s="79"/>
      <c r="J40" s="226">
        <f>I40*2*normuren!$B$26</f>
        <v>0</v>
      </c>
      <c r="K40" s="227">
        <f>IF(G40&lt;3,normuren!$B$8,IF(AND(G40&lt;6,G40&gt;2),normuren!$B$9,IF(AND(G40&lt;9,G40&gt;5),normuren!$B$10,normuren!$B$11)))</f>
        <v>15</v>
      </c>
      <c r="L40" s="228">
        <f>normuren!$B$24*2*12</f>
        <v>36</v>
      </c>
      <c r="M40" s="228">
        <f>normuren!$B$25*2*12</f>
        <v>45.599999999999994</v>
      </c>
      <c r="N40" s="250">
        <f>normuren!$B$29</f>
        <v>1.5</v>
      </c>
      <c r="O40" s="115"/>
      <c r="P40" s="286"/>
      <c r="Q40" s="119"/>
      <c r="R40" s="266"/>
      <c r="S40" s="119"/>
      <c r="T40" s="119"/>
      <c r="U40" s="286"/>
      <c r="V40" s="115"/>
      <c r="W40" s="286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73"/>
      <c r="AN40" s="286"/>
      <c r="AO40" s="115"/>
      <c r="AP40" s="115"/>
      <c r="AQ40" s="115"/>
      <c r="AR40" s="286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286"/>
      <c r="BL40" s="115"/>
      <c r="BM40" s="223">
        <f t="shared" si="1"/>
        <v>0</v>
      </c>
      <c r="BN40" s="224">
        <f t="shared" si="2"/>
        <v>0</v>
      </c>
      <c r="BO40" s="209" t="str">
        <f t="shared" si="3"/>
        <v>Oke</v>
      </c>
      <c r="BP40" s="6"/>
      <c r="BQ40" s="6"/>
      <c r="BR40" s="6"/>
      <c r="BS40" s="6"/>
      <c r="BT40" s="6"/>
      <c r="BU40" s="6"/>
      <c r="BV40" s="6"/>
      <c r="BW40" s="6"/>
      <c r="BX40" s="6"/>
      <c r="BY40" s="6"/>
    </row>
    <row r="41" spans="1:77" ht="12.75" customHeight="1" x14ac:dyDescent="0.3">
      <c r="A41" s="203" t="s">
        <v>373</v>
      </c>
      <c r="B41" s="203" t="s">
        <v>322</v>
      </c>
      <c r="C41" s="203" t="s">
        <v>249</v>
      </c>
      <c r="D41" s="203" t="s">
        <v>345</v>
      </c>
      <c r="E41" s="208"/>
      <c r="F41" s="24">
        <f t="shared" si="6"/>
        <v>0</v>
      </c>
      <c r="G41" s="249">
        <f t="shared" ref="G41:G42" si="7">ROUNDUP(F41,0)</f>
        <v>0</v>
      </c>
      <c r="H41" s="101">
        <f t="shared" si="0"/>
        <v>0</v>
      </c>
      <c r="I41" s="79"/>
      <c r="J41" s="226">
        <f>I41*2*normuren!$B$26</f>
        <v>0</v>
      </c>
      <c r="K41" s="227">
        <f>IF(G41&lt;3,normuren!$B$8,IF(AND(G41&lt;6,G41&gt;2),normuren!$B$9,IF(AND(G41&lt;9,G41&gt;5),normuren!$B$10,normuren!$B$11)))</f>
        <v>15</v>
      </c>
      <c r="L41" s="228">
        <f>normuren!$B$24*2*12</f>
        <v>36</v>
      </c>
      <c r="M41" s="228">
        <f>normuren!$B$25*2*12</f>
        <v>45.599999999999994</v>
      </c>
      <c r="N41" s="250">
        <f>normuren!$B$29</f>
        <v>1.5</v>
      </c>
      <c r="O41" s="115"/>
      <c r="P41" s="286"/>
      <c r="Q41" s="119"/>
      <c r="R41" s="266"/>
      <c r="S41" s="119"/>
      <c r="T41" s="119"/>
      <c r="U41" s="266"/>
      <c r="V41" s="173"/>
      <c r="W41" s="287"/>
      <c r="X41" s="173"/>
      <c r="Y41" s="115"/>
      <c r="Z41" s="115"/>
      <c r="AA41" s="173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286"/>
      <c r="AO41" s="115"/>
      <c r="AP41" s="115"/>
      <c r="AQ41" s="115"/>
      <c r="AR41" s="286"/>
      <c r="AS41" s="115"/>
      <c r="AT41" s="173"/>
      <c r="AU41" s="173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286"/>
      <c r="BL41" s="115"/>
      <c r="BM41" s="223">
        <f t="shared" si="1"/>
        <v>0</v>
      </c>
      <c r="BN41" s="224">
        <f t="shared" si="2"/>
        <v>0</v>
      </c>
      <c r="BO41" s="209" t="str">
        <f t="shared" si="3"/>
        <v>Oke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</row>
    <row r="42" spans="1:77" ht="12.75" customHeight="1" x14ac:dyDescent="0.3">
      <c r="A42" s="203" t="s">
        <v>374</v>
      </c>
      <c r="B42" s="203" t="s">
        <v>323</v>
      </c>
      <c r="C42" s="203" t="s">
        <v>248</v>
      </c>
      <c r="D42" s="204" t="s">
        <v>346</v>
      </c>
      <c r="E42" s="208"/>
      <c r="F42" s="24">
        <f t="shared" si="6"/>
        <v>0</v>
      </c>
      <c r="G42" s="249">
        <f t="shared" si="7"/>
        <v>0</v>
      </c>
      <c r="H42" s="101">
        <f t="shared" si="0"/>
        <v>0</v>
      </c>
      <c r="I42" s="79"/>
      <c r="J42" s="226">
        <f>I42*2*normuren!$B$26</f>
        <v>0</v>
      </c>
      <c r="K42" s="227">
        <f>IF(G42&lt;3,normuren!$B$8,IF(AND(G42&lt;6,G42&gt;2),normuren!$B$9,IF(AND(G42&lt;9,G42&gt;5),normuren!$B$10,normuren!$B$11)))</f>
        <v>15</v>
      </c>
      <c r="L42" s="228">
        <f>normuren!$B$24*2*12</f>
        <v>36</v>
      </c>
      <c r="M42" s="228">
        <f>normuren!$B$25*2*12</f>
        <v>45.599999999999994</v>
      </c>
      <c r="N42" s="250">
        <f>normuren!$B$29</f>
        <v>1.5</v>
      </c>
      <c r="O42" s="115"/>
      <c r="P42" s="286"/>
      <c r="Q42" s="119"/>
      <c r="R42" s="266"/>
      <c r="S42" s="119"/>
      <c r="T42" s="119"/>
      <c r="U42" s="286"/>
      <c r="V42" s="115"/>
      <c r="W42" s="286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286"/>
      <c r="AO42" s="115"/>
      <c r="AP42" s="115"/>
      <c r="AQ42" s="115"/>
      <c r="AR42" s="286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286"/>
      <c r="BL42" s="115"/>
      <c r="BM42" s="223">
        <f t="shared" si="1"/>
        <v>0</v>
      </c>
      <c r="BN42" s="224">
        <f t="shared" si="2"/>
        <v>0</v>
      </c>
      <c r="BO42" s="209" t="str">
        <f t="shared" si="3"/>
        <v>Oke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</row>
    <row r="43" spans="1:77" ht="12.75" customHeight="1" x14ac:dyDescent="0.3">
      <c r="A43" s="294" t="s">
        <v>375</v>
      </c>
      <c r="B43" s="294" t="s">
        <v>324</v>
      </c>
      <c r="C43" s="294" t="s">
        <v>27</v>
      </c>
      <c r="D43" s="294" t="s">
        <v>224</v>
      </c>
      <c r="E43" s="208"/>
      <c r="F43" s="24">
        <f t="shared" si="6"/>
        <v>0</v>
      </c>
      <c r="G43" s="249">
        <f>ROUNDUP(F43,0)</f>
        <v>0</v>
      </c>
      <c r="H43" s="101">
        <f t="shared" si="0"/>
        <v>0</v>
      </c>
      <c r="I43" s="79"/>
      <c r="J43" s="226">
        <f>I43*2*normuren!$B$26</f>
        <v>0</v>
      </c>
      <c r="K43" s="227">
        <f>IF(G43&lt;3,normuren!$B$8,IF(AND(G43&lt;6,G43&gt;2),normuren!$B$9,IF(AND(G43&lt;9,G43&gt;5),normuren!$B$10,normuren!$B$11)))</f>
        <v>15</v>
      </c>
      <c r="L43" s="228">
        <f>normuren!$B$24*2*12</f>
        <v>36</v>
      </c>
      <c r="M43" s="228">
        <f>normuren!$B$25*2*12</f>
        <v>45.599999999999994</v>
      </c>
      <c r="N43" s="250">
        <f>normuren!$B$29</f>
        <v>1.5</v>
      </c>
      <c r="O43" s="173"/>
      <c r="P43" s="287"/>
      <c r="Q43" s="119"/>
      <c r="R43" s="266"/>
      <c r="S43" s="119"/>
      <c r="T43" s="119"/>
      <c r="U43" s="286"/>
      <c r="V43" s="115"/>
      <c r="W43" s="286"/>
      <c r="X43" s="115"/>
      <c r="Y43" s="115"/>
      <c r="Z43" s="115"/>
      <c r="AA43" s="288" t="s">
        <v>700</v>
      </c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286"/>
      <c r="AO43" s="115"/>
      <c r="AP43" s="115"/>
      <c r="AQ43" s="115"/>
      <c r="AR43" s="286"/>
      <c r="AS43" s="115"/>
      <c r="AT43" s="115"/>
      <c r="AU43" s="173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286"/>
      <c r="BL43" s="115"/>
      <c r="BM43" s="223">
        <f t="shared" si="1"/>
        <v>0</v>
      </c>
      <c r="BN43" s="224">
        <f t="shared" si="2"/>
        <v>0</v>
      </c>
      <c r="BO43" s="209" t="str">
        <f t="shared" si="3"/>
        <v>Oke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</row>
    <row r="44" spans="1:77" ht="12.75" customHeight="1" x14ac:dyDescent="0.3">
      <c r="A44" s="203" t="s">
        <v>376</v>
      </c>
      <c r="B44" s="203" t="s">
        <v>325</v>
      </c>
      <c r="C44" s="203" t="s">
        <v>250</v>
      </c>
      <c r="D44" s="205" t="s">
        <v>668</v>
      </c>
      <c r="E44" s="208"/>
      <c r="F44" s="24">
        <f t="shared" si="6"/>
        <v>0</v>
      </c>
      <c r="G44" s="249">
        <f>ROUNDUP(F44,0)</f>
        <v>0</v>
      </c>
      <c r="H44" s="101">
        <f t="shared" si="0"/>
        <v>0</v>
      </c>
      <c r="I44" s="79"/>
      <c r="J44" s="226">
        <f>I44*2*normuren!$B$26</f>
        <v>0</v>
      </c>
      <c r="K44" s="227">
        <f>IF(G44&lt;3,normuren!$B$8,IF(AND(G44&lt;6,G44&gt;2),normuren!$B$9,IF(AND(G44&lt;9,G44&gt;5),normuren!$B$10,normuren!$B$11)))</f>
        <v>15</v>
      </c>
      <c r="L44" s="228">
        <f>normuren!$B$24*2*12</f>
        <v>36</v>
      </c>
      <c r="M44" s="228">
        <f>normuren!$B$25*2*12</f>
        <v>45.599999999999994</v>
      </c>
      <c r="N44" s="250">
        <f>normuren!$B$29</f>
        <v>1.5</v>
      </c>
      <c r="O44" s="176"/>
      <c r="P44" s="304"/>
      <c r="Q44" s="119"/>
      <c r="R44" s="266"/>
      <c r="S44" s="119"/>
      <c r="T44" s="119"/>
      <c r="U44" s="286"/>
      <c r="V44" s="115"/>
      <c r="W44" s="286"/>
      <c r="X44" s="115"/>
      <c r="Y44" s="115"/>
      <c r="Z44" s="115"/>
      <c r="AA44" s="115"/>
      <c r="AB44" s="115"/>
      <c r="AC44" s="115"/>
      <c r="AD44" s="115"/>
      <c r="AE44" s="115"/>
      <c r="AF44" s="115"/>
      <c r="AG44" s="173"/>
      <c r="AH44" s="115"/>
      <c r="AI44" s="115"/>
      <c r="AJ44" s="115"/>
      <c r="AK44" s="115"/>
      <c r="AL44" s="115"/>
      <c r="AM44" s="115"/>
      <c r="AN44" s="286"/>
      <c r="AO44" s="115"/>
      <c r="AP44" s="115"/>
      <c r="AQ44" s="115"/>
      <c r="AR44" s="286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286"/>
      <c r="BL44" s="115"/>
      <c r="BM44" s="223">
        <f t="shared" si="1"/>
        <v>0</v>
      </c>
      <c r="BN44" s="224">
        <f t="shared" si="2"/>
        <v>0</v>
      </c>
      <c r="BO44" s="209" t="str">
        <f t="shared" si="3"/>
        <v>Oke</v>
      </c>
      <c r="BP44" s="6"/>
      <c r="BQ44" s="6"/>
      <c r="BR44" s="6"/>
      <c r="BS44" s="6"/>
      <c r="BT44" s="6"/>
      <c r="BU44" s="6"/>
      <c r="BV44" s="6"/>
      <c r="BW44" s="6"/>
      <c r="BX44" s="6"/>
      <c r="BY44" s="6"/>
    </row>
    <row r="45" spans="1:77" ht="12.75" customHeight="1" x14ac:dyDescent="0.3">
      <c r="A45" s="203" t="s">
        <v>377</v>
      </c>
      <c r="B45" s="203" t="s">
        <v>326</v>
      </c>
      <c r="C45" s="203" t="s">
        <v>250</v>
      </c>
      <c r="D45" s="203" t="s">
        <v>347</v>
      </c>
      <c r="E45" s="208"/>
      <c r="F45" s="24">
        <f t="shared" si="6"/>
        <v>0</v>
      </c>
      <c r="G45" s="249">
        <f t="shared" ref="G45:G52" si="8">ROUNDUP(F45,0)</f>
        <v>0</v>
      </c>
      <c r="H45" s="101">
        <f t="shared" si="0"/>
        <v>0</v>
      </c>
      <c r="I45" s="79"/>
      <c r="J45" s="226">
        <f>I45*2*normuren!$B$26</f>
        <v>0</v>
      </c>
      <c r="K45" s="227">
        <f>IF(G45&lt;3,normuren!$B$8,IF(AND(G45&lt;6,G45&gt;2),normuren!$B$9,IF(AND(G45&lt;9,G45&gt;5),normuren!$B$10,normuren!$B$11)))</f>
        <v>15</v>
      </c>
      <c r="L45" s="228">
        <f>normuren!$B$24*2*12</f>
        <v>36</v>
      </c>
      <c r="M45" s="228">
        <f>normuren!$B$25*2*12</f>
        <v>45.599999999999994</v>
      </c>
      <c r="N45" s="250">
        <f>normuren!$B$29</f>
        <v>1.5</v>
      </c>
      <c r="O45" s="115"/>
      <c r="P45" s="286"/>
      <c r="Q45" s="119"/>
      <c r="R45" s="266"/>
      <c r="S45" s="119"/>
      <c r="T45" s="119"/>
      <c r="U45" s="286"/>
      <c r="V45" s="115"/>
      <c r="W45" s="286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286"/>
      <c r="AO45" s="115"/>
      <c r="AP45" s="115"/>
      <c r="AQ45" s="115"/>
      <c r="AR45" s="286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286"/>
      <c r="BL45" s="115"/>
      <c r="BM45" s="223">
        <f t="shared" si="1"/>
        <v>0</v>
      </c>
      <c r="BN45" s="224">
        <f t="shared" si="2"/>
        <v>0</v>
      </c>
      <c r="BO45" s="209" t="str">
        <f t="shared" si="3"/>
        <v>Oke</v>
      </c>
      <c r="BP45" s="6"/>
      <c r="BQ45" s="6"/>
      <c r="BR45" s="6"/>
      <c r="BS45" s="6"/>
      <c r="BT45" s="6"/>
      <c r="BU45" s="6"/>
      <c r="BV45" s="6"/>
      <c r="BW45" s="6"/>
      <c r="BX45" s="6"/>
      <c r="BY45" s="6"/>
    </row>
    <row r="46" spans="1:77" ht="12.75" customHeight="1" x14ac:dyDescent="0.3">
      <c r="A46" s="203" t="s">
        <v>378</v>
      </c>
      <c r="B46" s="203" t="s">
        <v>327</v>
      </c>
      <c r="C46" s="203" t="s">
        <v>250</v>
      </c>
      <c r="D46" s="203" t="s">
        <v>348</v>
      </c>
      <c r="E46" s="208"/>
      <c r="F46" s="24">
        <f t="shared" si="6"/>
        <v>0</v>
      </c>
      <c r="G46" s="249">
        <f t="shared" si="8"/>
        <v>0</v>
      </c>
      <c r="H46" s="101">
        <f t="shared" si="0"/>
        <v>0</v>
      </c>
      <c r="I46" s="79"/>
      <c r="J46" s="226">
        <f>I46*2*normuren!$B$26</f>
        <v>0</v>
      </c>
      <c r="K46" s="227">
        <f>IF(G46&lt;3,normuren!$B$8,IF(AND(G46&lt;6,G46&gt;2),normuren!$B$9,IF(AND(G46&lt;9,G46&gt;5),normuren!$B$10,normuren!$B$11)))</f>
        <v>15</v>
      </c>
      <c r="L46" s="228">
        <f>normuren!$B$24*2*12</f>
        <v>36</v>
      </c>
      <c r="M46" s="228">
        <f>normuren!$B$25*2*12</f>
        <v>45.599999999999994</v>
      </c>
      <c r="N46" s="250">
        <f>normuren!$B$29</f>
        <v>1.5</v>
      </c>
      <c r="O46" s="115"/>
      <c r="P46" s="286"/>
      <c r="Q46" s="119"/>
      <c r="R46" s="266"/>
      <c r="S46" s="119"/>
      <c r="T46" s="119"/>
      <c r="U46" s="286"/>
      <c r="V46" s="115"/>
      <c r="W46" s="286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286"/>
      <c r="AO46" s="115"/>
      <c r="AP46" s="115"/>
      <c r="AQ46" s="115"/>
      <c r="AR46" s="286"/>
      <c r="AS46" s="115"/>
      <c r="AT46" s="115"/>
      <c r="AU46" s="115"/>
      <c r="AV46" s="211"/>
      <c r="AW46" s="211"/>
      <c r="AX46" s="211"/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85"/>
      <c r="BL46" s="211"/>
      <c r="BM46" s="223">
        <f t="shared" si="1"/>
        <v>0</v>
      </c>
      <c r="BN46" s="224">
        <f t="shared" si="2"/>
        <v>0</v>
      </c>
      <c r="BO46" s="209" t="str">
        <f t="shared" si="3"/>
        <v>Oke</v>
      </c>
      <c r="BP46" s="6"/>
      <c r="BQ46" s="6"/>
      <c r="BR46" s="6"/>
      <c r="BS46" s="6"/>
      <c r="BT46" s="6"/>
      <c r="BU46" s="6"/>
      <c r="BV46" s="6"/>
      <c r="BW46" s="6"/>
      <c r="BX46" s="6"/>
      <c r="BY46" s="6"/>
    </row>
    <row r="47" spans="1:77" ht="12.75" customHeight="1" x14ac:dyDescent="0.3">
      <c r="A47" s="203" t="s">
        <v>379</v>
      </c>
      <c r="B47" s="203" t="s">
        <v>328</v>
      </c>
      <c r="C47" s="203" t="s">
        <v>249</v>
      </c>
      <c r="D47" s="203" t="s">
        <v>226</v>
      </c>
      <c r="E47" s="208"/>
      <c r="F47" s="24">
        <f t="shared" si="6"/>
        <v>0</v>
      </c>
      <c r="G47" s="249">
        <f t="shared" si="8"/>
        <v>0</v>
      </c>
      <c r="H47" s="101">
        <f t="shared" si="0"/>
        <v>0</v>
      </c>
      <c r="I47" s="79"/>
      <c r="J47" s="226">
        <f>I47*2*normuren!$B$26</f>
        <v>0</v>
      </c>
      <c r="K47" s="227">
        <f>IF(G47&lt;3,normuren!$B$8,IF(AND(G47&lt;6,G47&gt;2),normuren!$B$9,IF(AND(G47&lt;9,G47&gt;5),normuren!$B$10,normuren!$B$11)))</f>
        <v>15</v>
      </c>
      <c r="L47" s="228">
        <f>normuren!$B$24*2*12</f>
        <v>36</v>
      </c>
      <c r="M47" s="228">
        <f>normuren!$B$25*2*12</f>
        <v>45.599999999999994</v>
      </c>
      <c r="N47" s="250">
        <f>normuren!$B$29</f>
        <v>1.5</v>
      </c>
      <c r="O47" s="115"/>
      <c r="P47" s="286"/>
      <c r="Q47" s="119"/>
      <c r="R47" s="266"/>
      <c r="S47" s="119"/>
      <c r="T47" s="119"/>
      <c r="U47" s="286"/>
      <c r="V47" s="115"/>
      <c r="W47" s="286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286"/>
      <c r="AO47" s="115"/>
      <c r="AP47" s="115"/>
      <c r="AQ47" s="115"/>
      <c r="AR47" s="286"/>
      <c r="AS47" s="115"/>
      <c r="AT47" s="115"/>
      <c r="AU47" s="115"/>
      <c r="AV47" s="211"/>
      <c r="AW47" s="211"/>
      <c r="AX47" s="211"/>
      <c r="AY47" s="211"/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85"/>
      <c r="BL47" s="211"/>
      <c r="BM47" s="223">
        <f t="shared" si="1"/>
        <v>0</v>
      </c>
      <c r="BN47" s="224">
        <f t="shared" si="2"/>
        <v>0</v>
      </c>
      <c r="BO47" s="209" t="str">
        <f t="shared" si="3"/>
        <v>Oke</v>
      </c>
      <c r="BP47" s="6"/>
      <c r="BQ47" s="6"/>
      <c r="BR47" s="6"/>
      <c r="BS47" s="6"/>
      <c r="BT47" s="6"/>
      <c r="BU47" s="6"/>
      <c r="BV47" s="6"/>
      <c r="BW47" s="6"/>
      <c r="BX47" s="6"/>
      <c r="BY47" s="6"/>
    </row>
    <row r="48" spans="1:77" ht="12.75" customHeight="1" x14ac:dyDescent="0.3">
      <c r="A48" s="203" t="s">
        <v>380</v>
      </c>
      <c r="B48" s="203" t="s">
        <v>329</v>
      </c>
      <c r="C48" s="203" t="s">
        <v>249</v>
      </c>
      <c r="D48" s="203" t="s">
        <v>349</v>
      </c>
      <c r="E48" s="208"/>
      <c r="F48" s="24">
        <f t="shared" si="6"/>
        <v>0</v>
      </c>
      <c r="G48" s="249">
        <f t="shared" si="8"/>
        <v>0</v>
      </c>
      <c r="H48" s="101">
        <f t="shared" si="0"/>
        <v>0</v>
      </c>
      <c r="I48" s="79"/>
      <c r="J48" s="74">
        <f>I48*2*normuren!$B$26</f>
        <v>0</v>
      </c>
      <c r="K48" s="76">
        <f>IF(G48&lt;3,normuren!$B$8,IF(AND(G48&lt;6,G48&gt;2),normuren!$B$9,IF(AND(G48&lt;9,G48&gt;5),normuren!$B$10,normuren!$B$11)))</f>
        <v>15</v>
      </c>
      <c r="L48" s="75">
        <f>normuren!$B$24*2*12</f>
        <v>36</v>
      </c>
      <c r="M48" s="75">
        <f>normuren!$B$25*2*12</f>
        <v>45.599999999999994</v>
      </c>
      <c r="N48" s="251">
        <f>normuren!$B$29</f>
        <v>1.5</v>
      </c>
      <c r="O48" s="115"/>
      <c r="P48" s="286"/>
      <c r="Q48" s="119"/>
      <c r="R48" s="266"/>
      <c r="S48" s="119"/>
      <c r="T48" s="119"/>
      <c r="U48" s="286"/>
      <c r="V48" s="115"/>
      <c r="W48" s="286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286"/>
      <c r="AO48" s="115"/>
      <c r="AP48" s="115"/>
      <c r="AQ48" s="115"/>
      <c r="AR48" s="286"/>
      <c r="AS48" s="115"/>
      <c r="AT48" s="115"/>
      <c r="AU48" s="115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  <c r="BF48" s="211"/>
      <c r="BG48" s="211"/>
      <c r="BH48" s="211"/>
      <c r="BI48" s="282" t="s">
        <v>696</v>
      </c>
      <c r="BJ48" s="211"/>
      <c r="BK48" s="285"/>
      <c r="BL48" s="211"/>
      <c r="BM48" s="223">
        <f t="shared" si="1"/>
        <v>0</v>
      </c>
      <c r="BN48" s="224">
        <f t="shared" si="2"/>
        <v>0</v>
      </c>
      <c r="BO48" s="209" t="str">
        <f t="shared" si="3"/>
        <v>Oke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</row>
    <row r="49" spans="1:77" ht="12.75" customHeight="1" x14ac:dyDescent="0.3">
      <c r="A49" s="203" t="s">
        <v>381</v>
      </c>
      <c r="B49" s="203" t="s">
        <v>330</v>
      </c>
      <c r="C49" s="203" t="s">
        <v>250</v>
      </c>
      <c r="D49" s="203" t="s">
        <v>350</v>
      </c>
      <c r="E49" s="208"/>
      <c r="F49" s="24">
        <f t="shared" si="6"/>
        <v>0</v>
      </c>
      <c r="G49" s="249">
        <f t="shared" si="8"/>
        <v>0</v>
      </c>
      <c r="H49" s="101">
        <f t="shared" si="0"/>
        <v>0</v>
      </c>
      <c r="I49" s="79"/>
      <c r="J49" s="74">
        <f>I49*2*normuren!$B$26</f>
        <v>0</v>
      </c>
      <c r="K49" s="76">
        <f>IF(G49&lt;3,normuren!$B$8,IF(AND(G49&lt;6,G49&gt;2),normuren!$B$9,IF(AND(G49&lt;9,G49&gt;5),normuren!$B$10,normuren!$B$11)))</f>
        <v>15</v>
      </c>
      <c r="L49" s="75">
        <f>normuren!$B$24*2*12</f>
        <v>36</v>
      </c>
      <c r="M49" s="75">
        <f>normuren!$B$25*2*12</f>
        <v>45.599999999999994</v>
      </c>
      <c r="N49" s="251">
        <f>normuren!$B$29</f>
        <v>1.5</v>
      </c>
      <c r="O49" s="115"/>
      <c r="P49" s="286"/>
      <c r="Q49" s="119"/>
      <c r="R49" s="266"/>
      <c r="S49" s="119"/>
      <c r="T49" s="119"/>
      <c r="U49" s="286"/>
      <c r="V49" s="115"/>
      <c r="W49" s="286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286"/>
      <c r="AO49" s="115"/>
      <c r="AP49" s="115"/>
      <c r="AQ49" s="115"/>
      <c r="AR49" s="286"/>
      <c r="AS49" s="115"/>
      <c r="AT49" s="115"/>
      <c r="AU49" s="115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11"/>
      <c r="BK49" s="285"/>
      <c r="BL49" s="211"/>
      <c r="BM49" s="223">
        <f t="shared" si="1"/>
        <v>0</v>
      </c>
      <c r="BN49" s="224">
        <f t="shared" si="2"/>
        <v>0</v>
      </c>
      <c r="BO49" s="209" t="str">
        <f t="shared" si="3"/>
        <v>Oke</v>
      </c>
      <c r="BP49" s="6"/>
      <c r="BQ49" s="6"/>
      <c r="BR49" s="6"/>
      <c r="BS49" s="6"/>
      <c r="BT49" s="6"/>
      <c r="BU49" s="6"/>
      <c r="BV49" s="6"/>
      <c r="BW49" s="6"/>
      <c r="BX49" s="6"/>
      <c r="BY49" s="6"/>
    </row>
    <row r="50" spans="1:77" ht="12.75" customHeight="1" x14ac:dyDescent="0.3">
      <c r="A50" s="203" t="s">
        <v>382</v>
      </c>
      <c r="B50" s="203" t="s">
        <v>331</v>
      </c>
      <c r="C50" s="204" t="s">
        <v>250</v>
      </c>
      <c r="D50" s="204" t="s">
        <v>351</v>
      </c>
      <c r="E50" s="208"/>
      <c r="F50" s="24">
        <f t="shared" si="6"/>
        <v>0</v>
      </c>
      <c r="G50" s="249">
        <f t="shared" si="8"/>
        <v>0</v>
      </c>
      <c r="H50" s="101">
        <f t="shared" si="0"/>
        <v>0</v>
      </c>
      <c r="I50" s="79"/>
      <c r="J50" s="74">
        <f>I50*2*normuren!$B$26</f>
        <v>0</v>
      </c>
      <c r="K50" s="76">
        <f>IF(G50&lt;3,normuren!$B$8,IF(AND(G50&lt;6,G50&gt;2),normuren!$B$9,IF(AND(G50&lt;9,G50&gt;5),normuren!$B$10,normuren!$B$11)))</f>
        <v>15</v>
      </c>
      <c r="L50" s="75">
        <f>normuren!$B$24*2*12</f>
        <v>36</v>
      </c>
      <c r="M50" s="75">
        <f>normuren!$B$25*2*12</f>
        <v>45.599999999999994</v>
      </c>
      <c r="N50" s="251">
        <f>normuren!$B$29</f>
        <v>1.5</v>
      </c>
      <c r="O50" s="115"/>
      <c r="P50" s="286"/>
      <c r="Q50" s="119"/>
      <c r="R50" s="266"/>
      <c r="S50" s="119"/>
      <c r="T50" s="119"/>
      <c r="U50" s="286"/>
      <c r="V50" s="115"/>
      <c r="W50" s="286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286"/>
      <c r="AO50" s="115"/>
      <c r="AP50" s="115"/>
      <c r="AQ50" s="115"/>
      <c r="AR50" s="286"/>
      <c r="AS50" s="115"/>
      <c r="AT50" s="115"/>
      <c r="AU50" s="115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11"/>
      <c r="BK50" s="285"/>
      <c r="BL50" s="211"/>
      <c r="BM50" s="223">
        <f t="shared" si="1"/>
        <v>0</v>
      </c>
      <c r="BN50" s="224">
        <f t="shared" si="2"/>
        <v>0</v>
      </c>
      <c r="BO50" s="209" t="str">
        <f t="shared" si="3"/>
        <v>Oke</v>
      </c>
      <c r="BP50" s="6"/>
      <c r="BQ50" s="6"/>
      <c r="BR50" s="6"/>
      <c r="BS50" s="6"/>
      <c r="BT50" s="6"/>
      <c r="BU50" s="6"/>
      <c r="BV50" s="6"/>
      <c r="BW50" s="6"/>
      <c r="BX50" s="6"/>
      <c r="BY50" s="6"/>
    </row>
    <row r="51" spans="1:77" ht="12.75" customHeight="1" x14ac:dyDescent="0.3">
      <c r="A51" s="203" t="s">
        <v>383</v>
      </c>
      <c r="B51" s="203" t="s">
        <v>332</v>
      </c>
      <c r="C51" s="203" t="s">
        <v>245</v>
      </c>
      <c r="D51" s="204" t="s">
        <v>352</v>
      </c>
      <c r="E51" s="208"/>
      <c r="F51" s="24">
        <f t="shared" si="6"/>
        <v>0</v>
      </c>
      <c r="G51" s="249">
        <f t="shared" si="8"/>
        <v>0</v>
      </c>
      <c r="H51" s="101">
        <f t="shared" si="0"/>
        <v>0</v>
      </c>
      <c r="I51" s="79"/>
      <c r="J51" s="74">
        <f>I51*2*normuren!$B$26</f>
        <v>0</v>
      </c>
      <c r="K51" s="76">
        <f>IF(G51&lt;3,normuren!$B$8,IF(AND(G51&lt;6,G51&gt;2),normuren!$B$9,IF(AND(G51&lt;9,G51&gt;5),normuren!$B$10,normuren!$B$11)))</f>
        <v>15</v>
      </c>
      <c r="L51" s="75">
        <f>normuren!$B$24*2*12</f>
        <v>36</v>
      </c>
      <c r="M51" s="75">
        <f>normuren!$B$25*2*12</f>
        <v>45.599999999999994</v>
      </c>
      <c r="N51" s="251">
        <f>normuren!$B$29</f>
        <v>1.5</v>
      </c>
      <c r="O51" s="115"/>
      <c r="P51" s="286"/>
      <c r="Q51" s="119"/>
      <c r="R51" s="266"/>
      <c r="S51" s="119"/>
      <c r="T51" s="119"/>
      <c r="U51" s="286"/>
      <c r="V51" s="115"/>
      <c r="W51" s="286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286"/>
      <c r="AO51" s="115"/>
      <c r="AP51" s="115"/>
      <c r="AQ51" s="115"/>
      <c r="AR51" s="286"/>
      <c r="AS51" s="115"/>
      <c r="AT51" s="115"/>
      <c r="AU51" s="115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/>
      <c r="BJ51" s="211"/>
      <c r="BK51" s="285"/>
      <c r="BL51" s="211"/>
      <c r="BM51" s="223">
        <f t="shared" si="1"/>
        <v>0</v>
      </c>
      <c r="BN51" s="224">
        <f t="shared" si="2"/>
        <v>0</v>
      </c>
      <c r="BO51" s="209" t="str">
        <f t="shared" si="3"/>
        <v>Oke</v>
      </c>
      <c r="BP51" s="6"/>
      <c r="BQ51" s="6"/>
      <c r="BR51" s="6"/>
      <c r="BS51" s="6"/>
      <c r="BT51" s="6"/>
      <c r="BU51" s="6"/>
      <c r="BV51" s="6"/>
      <c r="BW51" s="6"/>
      <c r="BX51" s="6"/>
      <c r="BY51" s="6"/>
    </row>
    <row r="52" spans="1:77" ht="12.75" customHeight="1" x14ac:dyDescent="0.3">
      <c r="A52" s="203" t="s">
        <v>384</v>
      </c>
      <c r="B52" s="203" t="s">
        <v>333</v>
      </c>
      <c r="C52" s="203" t="s">
        <v>249</v>
      </c>
      <c r="D52" s="203" t="s">
        <v>221</v>
      </c>
      <c r="E52" s="208"/>
      <c r="F52" s="24">
        <f t="shared" si="6"/>
        <v>0</v>
      </c>
      <c r="G52" s="249">
        <f t="shared" si="8"/>
        <v>0</v>
      </c>
      <c r="H52" s="101">
        <f t="shared" si="0"/>
        <v>0</v>
      </c>
      <c r="I52" s="79"/>
      <c r="J52" s="74">
        <f>I52*2*normuren!$B$26</f>
        <v>0</v>
      </c>
      <c r="K52" s="76">
        <f>IF(G52&lt;3,normuren!$B$8,IF(AND(G52&lt;6,G52&gt;2),normuren!$B$9,IF(AND(G52&lt;9,G52&gt;5),normuren!$B$10,normuren!$B$11)))</f>
        <v>15</v>
      </c>
      <c r="L52" s="75">
        <f>normuren!$B$24*2*12</f>
        <v>36</v>
      </c>
      <c r="M52" s="75">
        <f>normuren!$B$25*2*12</f>
        <v>45.599999999999994</v>
      </c>
      <c r="N52" s="251">
        <f>normuren!$B$29</f>
        <v>1.5</v>
      </c>
      <c r="O52" s="115"/>
      <c r="P52" s="286"/>
      <c r="Q52" s="119"/>
      <c r="R52" s="266"/>
      <c r="S52" s="119"/>
      <c r="T52" s="119"/>
      <c r="U52" s="286"/>
      <c r="V52" s="115"/>
      <c r="W52" s="286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286"/>
      <c r="AS52" s="115"/>
      <c r="AT52" s="115"/>
      <c r="AU52" s="115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BF52" s="211"/>
      <c r="BG52" s="211"/>
      <c r="BH52" s="211"/>
      <c r="BI52" s="211"/>
      <c r="BJ52" s="211"/>
      <c r="BK52" s="285"/>
      <c r="BL52" s="211"/>
      <c r="BM52" s="223">
        <f t="shared" si="1"/>
        <v>0</v>
      </c>
      <c r="BN52" s="224">
        <f t="shared" si="2"/>
        <v>0</v>
      </c>
      <c r="BO52" s="209" t="str">
        <f t="shared" si="3"/>
        <v>Oke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</row>
    <row r="53" spans="1:77" ht="14.1" hidden="1" customHeight="1" thickBot="1" x14ac:dyDescent="0.25">
      <c r="A53" s="201"/>
      <c r="B53" s="202"/>
      <c r="C53" s="21"/>
      <c r="D53" s="177"/>
      <c r="E53" s="180"/>
      <c r="F53" s="28"/>
      <c r="G53" s="178"/>
      <c r="H53" s="29"/>
      <c r="I53" s="178"/>
      <c r="J53" s="181"/>
      <c r="K53" s="181"/>
      <c r="L53" s="181"/>
      <c r="M53" s="181"/>
      <c r="N53" s="182"/>
      <c r="O53" s="179"/>
      <c r="P53" s="179"/>
      <c r="Q53" s="175"/>
      <c r="R53" s="175"/>
      <c r="S53" s="175"/>
      <c r="T53" s="175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79"/>
      <c r="AU53" s="179"/>
      <c r="AV53" s="190"/>
      <c r="AW53" s="190"/>
      <c r="AX53" s="190"/>
      <c r="AY53" s="174"/>
      <c r="AZ53" s="191"/>
      <c r="BA53" s="191"/>
      <c r="BB53" s="191"/>
      <c r="BC53" s="115"/>
      <c r="BD53" s="191"/>
      <c r="BE53" s="191"/>
      <c r="BF53" s="191"/>
      <c r="BG53" s="191"/>
      <c r="BH53" s="191"/>
      <c r="BI53" s="190"/>
      <c r="BJ53" s="189"/>
      <c r="BK53" s="115"/>
      <c r="BL53" s="115"/>
      <c r="BO53" s="158"/>
      <c r="BP53" s="6"/>
      <c r="BQ53" s="6"/>
      <c r="BR53" s="6"/>
      <c r="BS53" s="6"/>
      <c r="BT53" s="6"/>
      <c r="BU53" s="6"/>
      <c r="BV53" s="6"/>
      <c r="BW53" s="6"/>
      <c r="BX53" s="6"/>
      <c r="BY53" s="6"/>
    </row>
    <row r="54" spans="1:77" ht="12.6" hidden="1" x14ac:dyDescent="0.2">
      <c r="A54" s="25"/>
      <c r="B54" s="132"/>
      <c r="C54" s="26"/>
      <c r="D54" s="26"/>
      <c r="E54" s="27"/>
      <c r="F54" s="28"/>
      <c r="G54" s="29"/>
      <c r="H54" s="29"/>
      <c r="I54" s="29"/>
      <c r="J54" s="29"/>
      <c r="K54" s="29"/>
      <c r="L54" s="29"/>
      <c r="M54" s="29"/>
      <c r="N54" s="29"/>
      <c r="O54" s="179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175"/>
      <c r="AM54" s="175"/>
      <c r="AN54" s="175"/>
      <c r="AO54" s="175"/>
      <c r="AP54" s="175"/>
      <c r="AQ54" s="175"/>
      <c r="AR54" s="175"/>
      <c r="AS54" s="175"/>
      <c r="AT54" s="175"/>
      <c r="AU54" s="175"/>
      <c r="AV54" s="179"/>
      <c r="AW54" s="179"/>
      <c r="AX54" s="179"/>
      <c r="AY54" s="179"/>
      <c r="AZ54" s="179"/>
      <c r="BA54" s="179"/>
      <c r="BB54" s="179"/>
      <c r="BC54" s="179"/>
      <c r="BD54" s="179"/>
      <c r="BE54" s="179"/>
      <c r="BF54" s="179"/>
      <c r="BG54" s="179"/>
      <c r="BH54" s="179"/>
      <c r="BI54" s="179"/>
      <c r="BJ54" s="179"/>
      <c r="BK54" s="179"/>
      <c r="BL54" s="179"/>
      <c r="BM54" s="179"/>
      <c r="BN54" s="183"/>
      <c r="BO54" s="158"/>
      <c r="BP54" s="6"/>
      <c r="BQ54" s="6"/>
      <c r="BR54" s="6"/>
      <c r="BS54" s="6"/>
      <c r="BT54" s="6"/>
      <c r="BU54" s="6"/>
      <c r="BV54" s="6"/>
      <c r="BW54" s="6"/>
      <c r="BX54" s="6"/>
      <c r="BY54" s="6"/>
    </row>
    <row r="55" spans="1:77" hidden="1" x14ac:dyDescent="0.2">
      <c r="A55" s="171" t="s">
        <v>10</v>
      </c>
      <c r="B55" s="149"/>
      <c r="C55" s="134"/>
      <c r="D55" s="134"/>
      <c r="E55" s="135"/>
      <c r="F55" s="150"/>
      <c r="G55" s="151">
        <f>SUM(G5:G54)</f>
        <v>0</v>
      </c>
      <c r="H55" s="134"/>
      <c r="I55" s="134"/>
      <c r="J55" s="134"/>
      <c r="K55" s="134"/>
      <c r="L55" s="136"/>
      <c r="M55" s="136"/>
      <c r="N55" s="152"/>
      <c r="O55" s="143">
        <f t="shared" ref="O55:AU55" si="9">SUM(O3:O52)</f>
        <v>0</v>
      </c>
      <c r="P55" s="143">
        <f t="shared" si="9"/>
        <v>0</v>
      </c>
      <c r="Q55" s="143">
        <f t="shared" si="9"/>
        <v>0</v>
      </c>
      <c r="R55" s="143">
        <f t="shared" si="9"/>
        <v>0</v>
      </c>
      <c r="S55" s="143">
        <f t="shared" si="9"/>
        <v>0</v>
      </c>
      <c r="T55" s="143">
        <f t="shared" si="9"/>
        <v>1</v>
      </c>
      <c r="U55" s="143">
        <f t="shared" si="9"/>
        <v>0</v>
      </c>
      <c r="V55" s="143">
        <f t="shared" si="9"/>
        <v>2</v>
      </c>
      <c r="W55" s="143">
        <f t="shared" si="9"/>
        <v>0</v>
      </c>
      <c r="X55" s="143">
        <f t="shared" si="9"/>
        <v>0</v>
      </c>
      <c r="Y55" s="143">
        <f t="shared" si="9"/>
        <v>1</v>
      </c>
      <c r="Z55" s="143">
        <f t="shared" si="9"/>
        <v>0</v>
      </c>
      <c r="AA55" s="143">
        <f t="shared" si="9"/>
        <v>0</v>
      </c>
      <c r="AB55" s="143">
        <f t="shared" si="9"/>
        <v>0</v>
      </c>
      <c r="AC55" s="143">
        <f t="shared" si="9"/>
        <v>0</v>
      </c>
      <c r="AD55" s="143">
        <f t="shared" si="9"/>
        <v>2</v>
      </c>
      <c r="AE55" s="143">
        <f t="shared" si="9"/>
        <v>1</v>
      </c>
      <c r="AF55" s="143">
        <f t="shared" si="9"/>
        <v>0</v>
      </c>
      <c r="AG55" s="143">
        <f t="shared" si="9"/>
        <v>2</v>
      </c>
      <c r="AH55" s="143">
        <f t="shared" si="9"/>
        <v>1</v>
      </c>
      <c r="AI55" s="143"/>
      <c r="AJ55" s="143">
        <f t="shared" si="9"/>
        <v>0</v>
      </c>
      <c r="AK55" s="143">
        <f t="shared" si="9"/>
        <v>0</v>
      </c>
      <c r="AL55" s="143">
        <f t="shared" si="9"/>
        <v>1</v>
      </c>
      <c r="AM55" s="143">
        <f t="shared" si="9"/>
        <v>2</v>
      </c>
      <c r="AN55" s="143">
        <f t="shared" si="9"/>
        <v>0</v>
      </c>
      <c r="AO55" s="143">
        <f t="shared" si="9"/>
        <v>0</v>
      </c>
      <c r="AP55" s="143">
        <f t="shared" si="9"/>
        <v>3</v>
      </c>
      <c r="AQ55" s="143">
        <f t="shared" si="9"/>
        <v>2</v>
      </c>
      <c r="AR55" s="143">
        <f t="shared" si="9"/>
        <v>0</v>
      </c>
      <c r="AS55" s="143">
        <f t="shared" si="9"/>
        <v>0</v>
      </c>
      <c r="AT55" s="143">
        <f t="shared" si="9"/>
        <v>3</v>
      </c>
      <c r="AU55" s="143">
        <f t="shared" si="9"/>
        <v>1</v>
      </c>
      <c r="AV55" s="143">
        <f>SUM(AV3:AV53)</f>
        <v>6</v>
      </c>
      <c r="AW55" s="143"/>
      <c r="AX55" s="143"/>
      <c r="AY55" s="143">
        <f>SUM(AY3:AY53)</f>
        <v>0</v>
      </c>
      <c r="AZ55" s="143"/>
      <c r="BA55" s="143"/>
      <c r="BB55" s="143">
        <f>SUM(BB3:BB53)</f>
        <v>0</v>
      </c>
      <c r="BC55" s="143">
        <f>SUM(BC3:BC53)</f>
        <v>5</v>
      </c>
      <c r="BD55" s="143"/>
      <c r="BE55" s="143"/>
      <c r="BF55" s="143"/>
      <c r="BG55" s="143"/>
      <c r="BH55" s="143"/>
      <c r="BI55" s="143">
        <f t="shared" ref="BI55:BN55" si="10">SUM(BI3:BI53)</f>
        <v>5</v>
      </c>
      <c r="BJ55" s="143"/>
      <c r="BK55" s="143">
        <f t="shared" si="10"/>
        <v>0</v>
      </c>
      <c r="BL55" s="143">
        <f t="shared" si="10"/>
        <v>2</v>
      </c>
      <c r="BM55" s="141">
        <f t="shared" si="10"/>
        <v>54</v>
      </c>
      <c r="BN55" s="141">
        <f t="shared" si="10"/>
        <v>-54</v>
      </c>
      <c r="BO55" s="158"/>
      <c r="BP55" s="6"/>
      <c r="BQ55" s="6"/>
      <c r="BR55" s="6"/>
      <c r="BS55" s="6"/>
      <c r="BT55" s="6"/>
      <c r="BU55" s="6"/>
      <c r="BV55" s="6"/>
      <c r="BW55" s="6"/>
      <c r="BX55" s="6"/>
      <c r="BY55" s="6"/>
    </row>
    <row r="56" spans="1:77" hidden="1" x14ac:dyDescent="0.2">
      <c r="A56" s="172" t="s">
        <v>39</v>
      </c>
      <c r="B56" s="146"/>
      <c r="C56" s="30"/>
      <c r="D56" s="30"/>
      <c r="E56" s="31"/>
      <c r="F56" s="30"/>
      <c r="G56" s="30"/>
      <c r="H56" s="30"/>
      <c r="I56" s="30"/>
      <c r="J56" s="30"/>
      <c r="K56" s="30"/>
      <c r="L56" s="32"/>
      <c r="M56" s="32"/>
      <c r="N56" s="147"/>
      <c r="O56" s="143">
        <f>SUM(O5:O53)</f>
        <v>0</v>
      </c>
      <c r="P56" s="141">
        <f t="shared" ref="P56:AU56" si="11">SUMPRODUCT($L$3:$L$52,P3:P52)</f>
        <v>0</v>
      </c>
      <c r="Q56" s="141">
        <f t="shared" si="11"/>
        <v>0</v>
      </c>
      <c r="R56" s="141">
        <f t="shared" si="11"/>
        <v>0</v>
      </c>
      <c r="S56" s="141">
        <f t="shared" si="11"/>
        <v>0</v>
      </c>
      <c r="T56" s="141">
        <f t="shared" si="11"/>
        <v>0</v>
      </c>
      <c r="U56" s="141">
        <f t="shared" si="11"/>
        <v>0</v>
      </c>
      <c r="V56" s="141">
        <f t="shared" si="11"/>
        <v>40</v>
      </c>
      <c r="W56" s="141">
        <f t="shared" si="11"/>
        <v>0</v>
      </c>
      <c r="X56" s="141">
        <f t="shared" si="11"/>
        <v>0</v>
      </c>
      <c r="Y56" s="141">
        <f t="shared" si="11"/>
        <v>36</v>
      </c>
      <c r="Z56" s="141">
        <f t="shared" si="11"/>
        <v>0</v>
      </c>
      <c r="AA56" s="141">
        <f t="shared" si="11"/>
        <v>0</v>
      </c>
      <c r="AB56" s="141">
        <f t="shared" si="11"/>
        <v>0</v>
      </c>
      <c r="AC56" s="141">
        <f t="shared" si="11"/>
        <v>0</v>
      </c>
      <c r="AD56" s="141">
        <f t="shared" si="11"/>
        <v>20</v>
      </c>
      <c r="AE56" s="141">
        <f t="shared" si="11"/>
        <v>36</v>
      </c>
      <c r="AF56" s="141">
        <f t="shared" si="11"/>
        <v>0</v>
      </c>
      <c r="AG56" s="141">
        <f t="shared" si="11"/>
        <v>36</v>
      </c>
      <c r="AH56" s="141">
        <f t="shared" si="11"/>
        <v>36</v>
      </c>
      <c r="AI56" s="141"/>
      <c r="AJ56" s="141">
        <f t="shared" si="11"/>
        <v>0</v>
      </c>
      <c r="AK56" s="141">
        <f t="shared" si="11"/>
        <v>0</v>
      </c>
      <c r="AL56" s="141">
        <f t="shared" si="11"/>
        <v>0</v>
      </c>
      <c r="AM56" s="141">
        <f t="shared" si="11"/>
        <v>72</v>
      </c>
      <c r="AN56" s="141">
        <f t="shared" si="11"/>
        <v>0</v>
      </c>
      <c r="AO56" s="141">
        <f t="shared" si="11"/>
        <v>0</v>
      </c>
      <c r="AP56" s="141">
        <f t="shared" si="11"/>
        <v>60</v>
      </c>
      <c r="AQ56" s="141">
        <f t="shared" si="11"/>
        <v>72</v>
      </c>
      <c r="AR56" s="141">
        <f t="shared" si="11"/>
        <v>0</v>
      </c>
      <c r="AS56" s="141">
        <f t="shared" si="11"/>
        <v>0</v>
      </c>
      <c r="AT56" s="141">
        <f t="shared" si="11"/>
        <v>60</v>
      </c>
      <c r="AU56" s="141">
        <f t="shared" si="11"/>
        <v>0</v>
      </c>
      <c r="AV56" s="143">
        <f t="shared" ref="AV56:AV63" si="12">SUM(AV5:AV54)</f>
        <v>6</v>
      </c>
      <c r="AW56" s="143"/>
      <c r="AX56" s="143"/>
      <c r="AY56" s="143">
        <f t="shared" ref="AY56:BB63" si="13">SUM(AY5:AY54)</f>
        <v>0</v>
      </c>
      <c r="AZ56" s="143"/>
      <c r="BA56" s="143"/>
      <c r="BB56" s="143">
        <f t="shared" si="13"/>
        <v>0</v>
      </c>
      <c r="BC56" s="143">
        <f t="shared" ref="BC56" si="14">SUM(BC5:BC54)</f>
        <v>5</v>
      </c>
      <c r="BD56" s="143"/>
      <c r="BE56" s="143"/>
      <c r="BF56" s="143"/>
      <c r="BG56" s="143"/>
      <c r="BH56" s="143"/>
      <c r="BI56" s="143">
        <f t="shared" ref="BI56:BL63" si="15">SUM(BI5:BI54)</f>
        <v>5</v>
      </c>
      <c r="BJ56" s="143"/>
      <c r="BK56" s="143">
        <f t="shared" si="15"/>
        <v>0</v>
      </c>
      <c r="BL56" s="143">
        <f t="shared" si="15"/>
        <v>2</v>
      </c>
      <c r="BM56" s="141" t="e">
        <f>SUMPRODUCT($L$3:$L$47,BM3:BM53)</f>
        <v>#VALUE!</v>
      </c>
      <c r="BN56" s="141"/>
      <c r="BO56" s="158"/>
      <c r="BP56" s="6"/>
      <c r="BQ56" s="6"/>
      <c r="BR56" s="6"/>
      <c r="BS56" s="6"/>
      <c r="BT56" s="6"/>
      <c r="BU56" s="6"/>
      <c r="BV56" s="6"/>
      <c r="BW56" s="6"/>
      <c r="BX56" s="6"/>
      <c r="BY56" s="6"/>
    </row>
    <row r="57" spans="1:77" hidden="1" x14ac:dyDescent="0.2">
      <c r="A57" s="172" t="s">
        <v>54</v>
      </c>
      <c r="B57" s="146"/>
      <c r="C57" s="30"/>
      <c r="D57" s="30"/>
      <c r="E57" s="31"/>
      <c r="F57" s="30"/>
      <c r="G57" s="30"/>
      <c r="H57" s="30"/>
      <c r="I57" s="30"/>
      <c r="J57" s="30"/>
      <c r="K57" s="30"/>
      <c r="L57" s="32"/>
      <c r="M57" s="32"/>
      <c r="N57" s="147"/>
      <c r="O57" s="143">
        <f t="shared" ref="O57:O63" si="16">SUM(O6:O53)</f>
        <v>0</v>
      </c>
      <c r="P57" s="139">
        <f t="shared" ref="P57:AU57" si="17">SUMPRODUCT($H$3:$H$52,$N$3:$N$52,P3:P52)</f>
        <v>0</v>
      </c>
      <c r="Q57" s="139">
        <f t="shared" si="17"/>
        <v>0</v>
      </c>
      <c r="R57" s="139">
        <f t="shared" si="17"/>
        <v>0</v>
      </c>
      <c r="S57" s="139">
        <f t="shared" si="17"/>
        <v>0</v>
      </c>
      <c r="T57" s="139">
        <f t="shared" si="17"/>
        <v>0</v>
      </c>
      <c r="U57" s="139">
        <f t="shared" si="17"/>
        <v>0</v>
      </c>
      <c r="V57" s="139">
        <f t="shared" si="17"/>
        <v>0</v>
      </c>
      <c r="W57" s="139">
        <f t="shared" si="17"/>
        <v>0</v>
      </c>
      <c r="X57" s="139">
        <f t="shared" si="17"/>
        <v>0</v>
      </c>
      <c r="Y57" s="139">
        <f t="shared" si="17"/>
        <v>0</v>
      </c>
      <c r="Z57" s="139">
        <f t="shared" si="17"/>
        <v>0</v>
      </c>
      <c r="AA57" s="139">
        <f t="shared" si="17"/>
        <v>0</v>
      </c>
      <c r="AB57" s="139">
        <f t="shared" si="17"/>
        <v>0</v>
      </c>
      <c r="AC57" s="139">
        <f t="shared" si="17"/>
        <v>0</v>
      </c>
      <c r="AD57" s="139">
        <f t="shared" si="17"/>
        <v>0</v>
      </c>
      <c r="AE57" s="139">
        <f t="shared" si="17"/>
        <v>0</v>
      </c>
      <c r="AF57" s="139">
        <f t="shared" si="17"/>
        <v>0</v>
      </c>
      <c r="AG57" s="139">
        <f t="shared" si="17"/>
        <v>0</v>
      </c>
      <c r="AH57" s="139">
        <f t="shared" si="17"/>
        <v>0</v>
      </c>
      <c r="AI57" s="139"/>
      <c r="AJ57" s="139">
        <f t="shared" si="17"/>
        <v>0</v>
      </c>
      <c r="AK57" s="139">
        <f t="shared" si="17"/>
        <v>0</v>
      </c>
      <c r="AL57" s="139">
        <f t="shared" si="17"/>
        <v>0</v>
      </c>
      <c r="AM57" s="139">
        <f t="shared" si="17"/>
        <v>0</v>
      </c>
      <c r="AN57" s="139">
        <f t="shared" si="17"/>
        <v>0</v>
      </c>
      <c r="AO57" s="139">
        <f t="shared" si="17"/>
        <v>0</v>
      </c>
      <c r="AP57" s="139">
        <f t="shared" si="17"/>
        <v>0</v>
      </c>
      <c r="AQ57" s="139">
        <f t="shared" si="17"/>
        <v>0</v>
      </c>
      <c r="AR57" s="139">
        <f t="shared" si="17"/>
        <v>0</v>
      </c>
      <c r="AS57" s="139">
        <f t="shared" si="17"/>
        <v>0</v>
      </c>
      <c r="AT57" s="139">
        <f t="shared" si="17"/>
        <v>0</v>
      </c>
      <c r="AU57" s="139">
        <f t="shared" si="17"/>
        <v>0</v>
      </c>
      <c r="AV57" s="143">
        <f t="shared" si="12"/>
        <v>12</v>
      </c>
      <c r="AW57" s="143"/>
      <c r="AX57" s="143"/>
      <c r="AY57" s="143">
        <f t="shared" si="13"/>
        <v>0</v>
      </c>
      <c r="AZ57" s="143"/>
      <c r="BA57" s="143"/>
      <c r="BB57" s="143">
        <f t="shared" si="13"/>
        <v>0</v>
      </c>
      <c r="BC57" s="143">
        <f t="shared" ref="BC57" si="18">SUM(BC6:BC55)</f>
        <v>7</v>
      </c>
      <c r="BD57" s="143"/>
      <c r="BE57" s="143"/>
      <c r="BF57" s="143"/>
      <c r="BG57" s="143"/>
      <c r="BH57" s="143"/>
      <c r="BI57" s="143">
        <f t="shared" si="15"/>
        <v>10</v>
      </c>
      <c r="BJ57" s="143"/>
      <c r="BK57" s="143">
        <f t="shared" si="15"/>
        <v>0</v>
      </c>
      <c r="BL57" s="143">
        <f t="shared" si="15"/>
        <v>4</v>
      </c>
      <c r="BM57" s="139" t="e">
        <f>SUMPRODUCT($H$3:$H$47,$N$3:$N$47,BM3:BM53)</f>
        <v>#VALUE!</v>
      </c>
      <c r="BN57" s="139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</row>
    <row r="58" spans="1:77" hidden="1" x14ac:dyDescent="0.2">
      <c r="A58" s="172" t="s">
        <v>36</v>
      </c>
      <c r="B58" s="146"/>
      <c r="C58" s="30"/>
      <c r="D58" s="30"/>
      <c r="E58" s="31"/>
      <c r="F58" s="30"/>
      <c r="G58" s="30"/>
      <c r="H58" s="30"/>
      <c r="I58" s="30"/>
      <c r="J58" s="30"/>
      <c r="K58" s="30"/>
      <c r="L58" s="32"/>
      <c r="M58" s="32"/>
      <c r="N58" s="147"/>
      <c r="O58" s="143">
        <f t="shared" si="16"/>
        <v>0</v>
      </c>
      <c r="P58" s="141">
        <f t="shared" ref="P58:AH58" si="19">DSUM($D$2:$BK$52,$K$2,P64:P65)</f>
        <v>0</v>
      </c>
      <c r="Q58" s="141">
        <f t="shared" si="19"/>
        <v>0</v>
      </c>
      <c r="R58" s="141">
        <f t="shared" si="19"/>
        <v>0</v>
      </c>
      <c r="S58" s="141">
        <f t="shared" si="19"/>
        <v>0</v>
      </c>
      <c r="T58" s="141">
        <f t="shared" si="19"/>
        <v>0</v>
      </c>
      <c r="U58" s="141">
        <f t="shared" si="19"/>
        <v>0</v>
      </c>
      <c r="V58" s="141">
        <f t="shared" si="19"/>
        <v>0</v>
      </c>
      <c r="W58" s="141">
        <f t="shared" si="19"/>
        <v>0</v>
      </c>
      <c r="X58" s="141">
        <f t="shared" si="19"/>
        <v>0</v>
      </c>
      <c r="Y58" s="141">
        <f t="shared" si="19"/>
        <v>0</v>
      </c>
      <c r="Z58" s="141">
        <f t="shared" si="19"/>
        <v>0</v>
      </c>
      <c r="AA58" s="141">
        <f t="shared" si="19"/>
        <v>0</v>
      </c>
      <c r="AB58" s="141">
        <f t="shared" si="19"/>
        <v>0</v>
      </c>
      <c r="AC58" s="141">
        <f t="shared" si="19"/>
        <v>0</v>
      </c>
      <c r="AD58" s="141">
        <f t="shared" si="19"/>
        <v>0</v>
      </c>
      <c r="AE58" s="141">
        <f t="shared" si="19"/>
        <v>0</v>
      </c>
      <c r="AF58" s="141">
        <f t="shared" si="19"/>
        <v>0</v>
      </c>
      <c r="AG58" s="141">
        <f t="shared" si="19"/>
        <v>0</v>
      </c>
      <c r="AH58" s="141">
        <f t="shared" si="19"/>
        <v>0</v>
      </c>
      <c r="AI58" s="141"/>
      <c r="AJ58" s="141">
        <f t="shared" ref="AJ58:AU58" si="20">DSUM($D$2:$BK$52,$K$2,AJ64:AJ65)</f>
        <v>0</v>
      </c>
      <c r="AK58" s="141">
        <f t="shared" si="20"/>
        <v>0</v>
      </c>
      <c r="AL58" s="141">
        <f t="shared" si="20"/>
        <v>0</v>
      </c>
      <c r="AM58" s="141">
        <f t="shared" si="20"/>
        <v>0</v>
      </c>
      <c r="AN58" s="141">
        <f t="shared" si="20"/>
        <v>0</v>
      </c>
      <c r="AO58" s="141">
        <f t="shared" si="20"/>
        <v>0</v>
      </c>
      <c r="AP58" s="141">
        <f t="shared" si="20"/>
        <v>0</v>
      </c>
      <c r="AQ58" s="141">
        <f t="shared" si="20"/>
        <v>0</v>
      </c>
      <c r="AR58" s="141">
        <f t="shared" si="20"/>
        <v>0</v>
      </c>
      <c r="AS58" s="141">
        <f t="shared" si="20"/>
        <v>0</v>
      </c>
      <c r="AT58" s="141">
        <f t="shared" si="20"/>
        <v>0</v>
      </c>
      <c r="AU58" s="141">
        <f t="shared" si="20"/>
        <v>0</v>
      </c>
      <c r="AV58" s="143">
        <f t="shared" si="12"/>
        <v>18</v>
      </c>
      <c r="AW58" s="143"/>
      <c r="AX58" s="143"/>
      <c r="AY58" s="143">
        <f t="shared" si="13"/>
        <v>0</v>
      </c>
      <c r="AZ58" s="143"/>
      <c r="BA58" s="143"/>
      <c r="BB58" s="143">
        <f t="shared" si="13"/>
        <v>0</v>
      </c>
      <c r="BC58" s="143">
        <f t="shared" ref="BC58" si="21">SUM(BC7:BC56)</f>
        <v>12</v>
      </c>
      <c r="BD58" s="143"/>
      <c r="BE58" s="143"/>
      <c r="BF58" s="143"/>
      <c r="BG58" s="143"/>
      <c r="BH58" s="143"/>
      <c r="BI58" s="143">
        <f t="shared" si="15"/>
        <v>15</v>
      </c>
      <c r="BJ58" s="143"/>
      <c r="BK58" s="143">
        <f t="shared" si="15"/>
        <v>0</v>
      </c>
      <c r="BL58" s="143">
        <f t="shared" si="15"/>
        <v>6</v>
      </c>
      <c r="BM58" s="141">
        <f>DSUM($D$2:$BM$47,$K$2,BM64:BM65)</f>
        <v>0</v>
      </c>
      <c r="BN58" s="139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</row>
    <row r="59" spans="1:77" s="158" customFormat="1" hidden="1" x14ac:dyDescent="0.2">
      <c r="A59" s="172" t="s">
        <v>138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4"/>
      <c r="O59" s="143">
        <f t="shared" si="16"/>
        <v>0</v>
      </c>
      <c r="P59" s="142">
        <f>P56+P57+P58</f>
        <v>0</v>
      </c>
      <c r="Q59" s="142">
        <f>Q56+Q57+Q58</f>
        <v>0</v>
      </c>
      <c r="R59" s="142">
        <f>R56+R57+R58</f>
        <v>0</v>
      </c>
      <c r="S59" s="142">
        <f t="shared" ref="S59:AU59" si="22">S56+S57+S58</f>
        <v>0</v>
      </c>
      <c r="T59" s="142">
        <f t="shared" si="22"/>
        <v>0</v>
      </c>
      <c r="U59" s="142">
        <f t="shared" si="22"/>
        <v>0</v>
      </c>
      <c r="V59" s="142">
        <f t="shared" si="22"/>
        <v>40</v>
      </c>
      <c r="W59" s="142">
        <f t="shared" si="22"/>
        <v>0</v>
      </c>
      <c r="X59" s="142">
        <f t="shared" si="22"/>
        <v>0</v>
      </c>
      <c r="Y59" s="142">
        <f t="shared" si="22"/>
        <v>36</v>
      </c>
      <c r="Z59" s="142">
        <f t="shared" si="22"/>
        <v>0</v>
      </c>
      <c r="AA59" s="142">
        <f t="shared" si="22"/>
        <v>0</v>
      </c>
      <c r="AB59" s="142">
        <f t="shared" si="22"/>
        <v>0</v>
      </c>
      <c r="AC59" s="142">
        <f t="shared" si="22"/>
        <v>0</v>
      </c>
      <c r="AD59" s="142">
        <f t="shared" si="22"/>
        <v>20</v>
      </c>
      <c r="AE59" s="142">
        <f t="shared" si="22"/>
        <v>36</v>
      </c>
      <c r="AF59" s="142">
        <f t="shared" si="22"/>
        <v>0</v>
      </c>
      <c r="AG59" s="142">
        <f t="shared" si="22"/>
        <v>36</v>
      </c>
      <c r="AH59" s="142">
        <f t="shared" si="22"/>
        <v>36</v>
      </c>
      <c r="AI59" s="142"/>
      <c r="AJ59" s="142">
        <f t="shared" si="22"/>
        <v>0</v>
      </c>
      <c r="AK59" s="142">
        <f t="shared" si="22"/>
        <v>0</v>
      </c>
      <c r="AL59" s="142">
        <f t="shared" si="22"/>
        <v>0</v>
      </c>
      <c r="AM59" s="142">
        <f t="shared" si="22"/>
        <v>72</v>
      </c>
      <c r="AN59" s="142">
        <f t="shared" si="22"/>
        <v>0</v>
      </c>
      <c r="AO59" s="142">
        <f t="shared" si="22"/>
        <v>0</v>
      </c>
      <c r="AP59" s="142">
        <f t="shared" si="22"/>
        <v>60</v>
      </c>
      <c r="AQ59" s="142">
        <f t="shared" si="22"/>
        <v>72</v>
      </c>
      <c r="AR59" s="142">
        <f t="shared" si="22"/>
        <v>0</v>
      </c>
      <c r="AS59" s="142">
        <f t="shared" si="22"/>
        <v>0</v>
      </c>
      <c r="AT59" s="142">
        <f t="shared" si="22"/>
        <v>60</v>
      </c>
      <c r="AU59" s="142">
        <f t="shared" si="22"/>
        <v>0</v>
      </c>
      <c r="AV59" s="143">
        <f t="shared" si="12"/>
        <v>30</v>
      </c>
      <c r="AW59" s="143"/>
      <c r="AX59" s="143"/>
      <c r="AY59" s="143">
        <f t="shared" si="13"/>
        <v>0</v>
      </c>
      <c r="AZ59" s="143"/>
      <c r="BA59" s="143"/>
      <c r="BB59" s="143">
        <f t="shared" si="13"/>
        <v>0</v>
      </c>
      <c r="BC59" s="143">
        <f t="shared" ref="BC59" si="23">SUM(BC8:BC57)</f>
        <v>19</v>
      </c>
      <c r="BD59" s="143"/>
      <c r="BE59" s="143"/>
      <c r="BF59" s="143"/>
      <c r="BG59" s="143"/>
      <c r="BH59" s="143"/>
      <c r="BI59" s="143">
        <f t="shared" si="15"/>
        <v>25</v>
      </c>
      <c r="BJ59" s="143"/>
      <c r="BK59" s="143">
        <f t="shared" si="15"/>
        <v>0</v>
      </c>
      <c r="BL59" s="143">
        <f t="shared" si="15"/>
        <v>10</v>
      </c>
      <c r="BM59" s="142" t="e">
        <f t="shared" ref="BM59" si="24">SUM(BM56:BM58)</f>
        <v>#VALUE!</v>
      </c>
      <c r="BN59" s="140"/>
      <c r="BO59" s="6"/>
    </row>
    <row r="60" spans="1:77" s="158" customFormat="1" hidden="1" x14ac:dyDescent="0.2">
      <c r="A60" s="172" t="s">
        <v>139</v>
      </c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4"/>
      <c r="O60" s="143">
        <f t="shared" si="16"/>
        <v>0</v>
      </c>
      <c r="P60" s="142">
        <f t="shared" ref="P60" si="25">P59/8</f>
        <v>0</v>
      </c>
      <c r="Q60" s="142">
        <f t="shared" ref="Q60" si="26">Q59/8</f>
        <v>0</v>
      </c>
      <c r="R60" s="142">
        <f t="shared" ref="R60:AU60" si="27">R59/8</f>
        <v>0</v>
      </c>
      <c r="S60" s="142">
        <f t="shared" si="27"/>
        <v>0</v>
      </c>
      <c r="T60" s="142">
        <f t="shared" si="27"/>
        <v>0</v>
      </c>
      <c r="U60" s="142">
        <f t="shared" si="27"/>
        <v>0</v>
      </c>
      <c r="V60" s="142">
        <f t="shared" si="27"/>
        <v>5</v>
      </c>
      <c r="W60" s="142">
        <f t="shared" si="27"/>
        <v>0</v>
      </c>
      <c r="X60" s="142">
        <f t="shared" si="27"/>
        <v>0</v>
      </c>
      <c r="Y60" s="142">
        <f t="shared" si="27"/>
        <v>4.5</v>
      </c>
      <c r="Z60" s="142">
        <f t="shared" si="27"/>
        <v>0</v>
      </c>
      <c r="AA60" s="142">
        <f t="shared" si="27"/>
        <v>0</v>
      </c>
      <c r="AB60" s="142">
        <f t="shared" si="27"/>
        <v>0</v>
      </c>
      <c r="AC60" s="142">
        <f t="shared" si="27"/>
        <v>0</v>
      </c>
      <c r="AD60" s="142">
        <f t="shared" si="27"/>
        <v>2.5</v>
      </c>
      <c r="AE60" s="142">
        <f t="shared" si="27"/>
        <v>4.5</v>
      </c>
      <c r="AF60" s="142">
        <f t="shared" si="27"/>
        <v>0</v>
      </c>
      <c r="AG60" s="142">
        <f t="shared" si="27"/>
        <v>4.5</v>
      </c>
      <c r="AH60" s="142">
        <f t="shared" si="27"/>
        <v>4.5</v>
      </c>
      <c r="AI60" s="142"/>
      <c r="AJ60" s="142">
        <f t="shared" si="27"/>
        <v>0</v>
      </c>
      <c r="AK60" s="142">
        <f t="shared" si="27"/>
        <v>0</v>
      </c>
      <c r="AL60" s="142">
        <f t="shared" si="27"/>
        <v>0</v>
      </c>
      <c r="AM60" s="142">
        <f t="shared" si="27"/>
        <v>9</v>
      </c>
      <c r="AN60" s="142">
        <f t="shared" si="27"/>
        <v>0</v>
      </c>
      <c r="AO60" s="142">
        <f t="shared" si="27"/>
        <v>0</v>
      </c>
      <c r="AP60" s="142">
        <f t="shared" si="27"/>
        <v>7.5</v>
      </c>
      <c r="AQ60" s="142">
        <f t="shared" si="27"/>
        <v>9</v>
      </c>
      <c r="AR60" s="142">
        <f t="shared" si="27"/>
        <v>0</v>
      </c>
      <c r="AS60" s="142">
        <f t="shared" si="27"/>
        <v>0</v>
      </c>
      <c r="AT60" s="142">
        <f t="shared" si="27"/>
        <v>7.5</v>
      </c>
      <c r="AU60" s="142">
        <f t="shared" si="27"/>
        <v>0</v>
      </c>
      <c r="AV60" s="143">
        <f t="shared" si="12"/>
        <v>48</v>
      </c>
      <c r="AW60" s="143"/>
      <c r="AX60" s="143"/>
      <c r="AY60" s="143">
        <f t="shared" si="13"/>
        <v>0</v>
      </c>
      <c r="AZ60" s="143"/>
      <c r="BA60" s="143"/>
      <c r="BB60" s="143">
        <f t="shared" si="13"/>
        <v>0</v>
      </c>
      <c r="BC60" s="143">
        <f t="shared" ref="BC60" si="28">SUM(BC9:BC58)</f>
        <v>31</v>
      </c>
      <c r="BD60" s="143"/>
      <c r="BE60" s="143"/>
      <c r="BF60" s="143"/>
      <c r="BG60" s="143"/>
      <c r="BH60" s="143"/>
      <c r="BI60" s="143">
        <f t="shared" si="15"/>
        <v>40</v>
      </c>
      <c r="BJ60" s="143"/>
      <c r="BK60" s="143">
        <f t="shared" si="15"/>
        <v>0</v>
      </c>
      <c r="BL60" s="143">
        <f t="shared" si="15"/>
        <v>16</v>
      </c>
      <c r="BM60" s="142"/>
      <c r="BN60" s="140"/>
      <c r="BO60" s="6"/>
    </row>
    <row r="61" spans="1:77" s="158" customFormat="1" hidden="1" x14ac:dyDescent="0.2">
      <c r="A61" s="171" t="s">
        <v>140</v>
      </c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70"/>
      <c r="O61" s="143">
        <f t="shared" si="16"/>
        <v>0</v>
      </c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3">
        <f t="shared" si="12"/>
        <v>78</v>
      </c>
      <c r="AW61" s="143"/>
      <c r="AX61" s="143"/>
      <c r="AY61" s="143">
        <f t="shared" si="13"/>
        <v>0</v>
      </c>
      <c r="AZ61" s="143"/>
      <c r="BA61" s="143"/>
      <c r="BB61" s="143">
        <f t="shared" si="13"/>
        <v>0</v>
      </c>
      <c r="BC61" s="143">
        <f t="shared" ref="BC61" si="29">SUM(BC10:BC59)</f>
        <v>50</v>
      </c>
      <c r="BD61" s="143"/>
      <c r="BE61" s="143"/>
      <c r="BF61" s="143"/>
      <c r="BG61" s="143"/>
      <c r="BH61" s="143"/>
      <c r="BI61" s="143">
        <f t="shared" si="15"/>
        <v>65</v>
      </c>
      <c r="BJ61" s="143"/>
      <c r="BK61" s="143">
        <f t="shared" si="15"/>
        <v>0</v>
      </c>
      <c r="BL61" s="143">
        <f t="shared" si="15"/>
        <v>26</v>
      </c>
      <c r="BM61" s="142"/>
      <c r="BN61" s="140"/>
      <c r="BO61" s="6"/>
    </row>
    <row r="62" spans="1:77" s="158" customFormat="1" hidden="1" x14ac:dyDescent="0.2">
      <c r="A62" s="171" t="s">
        <v>141</v>
      </c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70"/>
      <c r="O62" s="143">
        <f t="shared" si="16"/>
        <v>0</v>
      </c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3">
        <f t="shared" si="12"/>
        <v>126</v>
      </c>
      <c r="AW62" s="143"/>
      <c r="AX62" s="143"/>
      <c r="AY62" s="143">
        <f t="shared" si="13"/>
        <v>0</v>
      </c>
      <c r="AZ62" s="143"/>
      <c r="BA62" s="143"/>
      <c r="BB62" s="143">
        <f t="shared" si="13"/>
        <v>0</v>
      </c>
      <c r="BC62" s="143">
        <f>SUM(BC11:BC60)</f>
        <v>81</v>
      </c>
      <c r="BD62" s="143"/>
      <c r="BE62" s="143"/>
      <c r="BF62" s="143"/>
      <c r="BG62" s="143"/>
      <c r="BH62" s="143"/>
      <c r="BI62" s="143">
        <f t="shared" si="15"/>
        <v>105</v>
      </c>
      <c r="BJ62" s="143"/>
      <c r="BK62" s="143">
        <f t="shared" si="15"/>
        <v>0</v>
      </c>
      <c r="BL62" s="143">
        <f t="shared" si="15"/>
        <v>42</v>
      </c>
      <c r="BM62" s="142"/>
      <c r="BN62" s="140"/>
      <c r="BO62" s="6"/>
    </row>
    <row r="63" spans="1:77" s="158" customFormat="1" hidden="1" x14ac:dyDescent="0.2">
      <c r="A63" s="171" t="s">
        <v>142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70"/>
      <c r="O63" s="143">
        <f t="shared" si="16"/>
        <v>0</v>
      </c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3">
        <f t="shared" si="12"/>
        <v>204</v>
      </c>
      <c r="AW63" s="143"/>
      <c r="AX63" s="143"/>
      <c r="AY63" s="143">
        <f t="shared" si="13"/>
        <v>0</v>
      </c>
      <c r="AZ63" s="143"/>
      <c r="BA63" s="143"/>
      <c r="BB63" s="143">
        <f t="shared" si="13"/>
        <v>0</v>
      </c>
      <c r="BC63" s="143">
        <f t="shared" ref="BC63" si="30">SUM(BC12:BC61)</f>
        <v>131</v>
      </c>
      <c r="BD63" s="143"/>
      <c r="BE63" s="143"/>
      <c r="BF63" s="143"/>
      <c r="BG63" s="143"/>
      <c r="BH63" s="143"/>
      <c r="BI63" s="143">
        <f t="shared" si="15"/>
        <v>170</v>
      </c>
      <c r="BJ63" s="143"/>
      <c r="BK63" s="143">
        <f t="shared" si="15"/>
        <v>0</v>
      </c>
      <c r="BL63" s="143">
        <f t="shared" si="15"/>
        <v>68</v>
      </c>
      <c r="BM63" s="142"/>
      <c r="BN63" s="140"/>
      <c r="BO63" s="6"/>
    </row>
    <row r="64" spans="1:77" hidden="1" x14ac:dyDescent="0.2">
      <c r="A64" s="148"/>
      <c r="B64" s="149"/>
      <c r="C64" s="134"/>
      <c r="D64" s="134"/>
      <c r="E64" s="135"/>
      <c r="F64" s="134"/>
      <c r="G64" s="134"/>
      <c r="H64" s="134"/>
      <c r="I64" s="134"/>
      <c r="J64" s="134"/>
      <c r="K64" s="134"/>
      <c r="L64" s="136"/>
      <c r="M64" s="136"/>
      <c r="N64" s="152"/>
      <c r="O64" s="144" t="s">
        <v>37</v>
      </c>
      <c r="P64" s="139" t="str">
        <f t="shared" ref="P64:AU64" si="31">P2</f>
        <v>Lbe</v>
      </c>
      <c r="Q64" s="139" t="str">
        <f t="shared" si="31"/>
        <v>LB</v>
      </c>
      <c r="R64" s="139" t="str">
        <f t="shared" si="31"/>
        <v>Sca</v>
      </c>
      <c r="S64" s="139" t="str">
        <f t="shared" si="31"/>
        <v>TD</v>
      </c>
      <c r="T64" s="139" t="str">
        <f t="shared" si="31"/>
        <v>WvD</v>
      </c>
      <c r="U64" s="139" t="str">
        <f t="shared" si="31"/>
        <v>CE</v>
      </c>
      <c r="V64" s="139" t="str">
        <f t="shared" si="31"/>
        <v>AF</v>
      </c>
      <c r="W64" s="139" t="str">
        <f t="shared" si="31"/>
        <v>WG</v>
      </c>
      <c r="X64" s="139" t="str">
        <f t="shared" si="31"/>
        <v>TG</v>
      </c>
      <c r="Y64" s="139" t="str">
        <f t="shared" si="31"/>
        <v>RH</v>
      </c>
      <c r="Z64" s="139" t="str">
        <f t="shared" si="31"/>
        <v>CH</v>
      </c>
      <c r="AA64" s="139" t="str">
        <f t="shared" si="31"/>
        <v>KH</v>
      </c>
      <c r="AB64" s="139" t="str">
        <f t="shared" si="31"/>
        <v>MH</v>
      </c>
      <c r="AC64" s="139" t="str">
        <f t="shared" si="31"/>
        <v>MK</v>
      </c>
      <c r="AD64" s="139" t="str">
        <f t="shared" si="31"/>
        <v>VL</v>
      </c>
      <c r="AE64" s="139" t="str">
        <f t="shared" si="31"/>
        <v>EM</v>
      </c>
      <c r="AF64" s="139" t="str">
        <f t="shared" si="31"/>
        <v>DM</v>
      </c>
      <c r="AG64" s="139" t="str">
        <f t="shared" si="31"/>
        <v>JM</v>
      </c>
      <c r="AH64" s="139" t="str">
        <f t="shared" si="31"/>
        <v>UM</v>
      </c>
      <c r="AI64" s="139"/>
      <c r="AJ64" s="139" t="str">
        <f t="shared" si="31"/>
        <v>AO</v>
      </c>
      <c r="AK64" s="139" t="str">
        <f t="shared" si="31"/>
        <v>JvP</v>
      </c>
      <c r="AL64" s="139" t="str">
        <f t="shared" si="31"/>
        <v>CR</v>
      </c>
      <c r="AM64" s="139" t="str">
        <f t="shared" si="31"/>
        <v>IR</v>
      </c>
      <c r="AN64" s="139" t="str">
        <f t="shared" si="31"/>
        <v>JS</v>
      </c>
      <c r="AO64" s="139" t="str">
        <f t="shared" si="31"/>
        <v>BS</v>
      </c>
      <c r="AP64" s="139" t="str">
        <f t="shared" si="31"/>
        <v>MS</v>
      </c>
      <c r="AQ64" s="139" t="str">
        <f t="shared" si="31"/>
        <v>PV</v>
      </c>
      <c r="AR64" s="139" t="str">
        <f t="shared" si="31"/>
        <v>DV</v>
      </c>
      <c r="AS64" s="139" t="str">
        <f t="shared" si="31"/>
        <v>JW</v>
      </c>
      <c r="AT64" s="139" t="str">
        <f t="shared" si="31"/>
        <v>AW</v>
      </c>
      <c r="AU64" s="139" t="str">
        <f t="shared" si="31"/>
        <v>CYPL</v>
      </c>
      <c r="AV64" s="139" t="s">
        <v>37</v>
      </c>
      <c r="AW64" s="139"/>
      <c r="AX64" s="139"/>
      <c r="AY64" s="139" t="s">
        <v>37</v>
      </c>
      <c r="AZ64" s="139"/>
      <c r="BA64" s="139"/>
      <c r="BB64" s="139" t="s">
        <v>37</v>
      </c>
      <c r="BC64" s="139" t="s">
        <v>37</v>
      </c>
      <c r="BD64" s="139"/>
      <c r="BE64" s="139"/>
      <c r="BF64" s="139"/>
      <c r="BG64" s="139"/>
      <c r="BH64" s="139"/>
      <c r="BI64" s="139" t="s">
        <v>37</v>
      </c>
      <c r="BJ64" s="139"/>
      <c r="BK64" s="139" t="s">
        <v>37</v>
      </c>
      <c r="BL64" s="139" t="s">
        <v>37</v>
      </c>
      <c r="BM64" s="139" t="s">
        <v>37</v>
      </c>
      <c r="BN64" s="139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</row>
    <row r="65" spans="1:77" hidden="1" x14ac:dyDescent="0.2">
      <c r="A65" s="155"/>
      <c r="B65" s="156"/>
      <c r="C65" s="117"/>
      <c r="D65" s="117"/>
      <c r="E65" s="137"/>
      <c r="F65" s="117"/>
      <c r="G65" s="117"/>
      <c r="H65" s="117"/>
      <c r="I65" s="117"/>
      <c r="J65" s="117"/>
      <c r="K65" s="117"/>
      <c r="L65" s="138"/>
      <c r="M65" s="138"/>
      <c r="N65" s="157"/>
      <c r="O65" s="144" t="str">
        <f t="shared" ref="O65:AV65" si="32">O2</f>
        <v>FAC</v>
      </c>
      <c r="P65" s="144" t="str">
        <f t="shared" si="32"/>
        <v>Lbe</v>
      </c>
      <c r="Q65" s="144" t="str">
        <f t="shared" si="32"/>
        <v>LB</v>
      </c>
      <c r="R65" s="144" t="str">
        <f t="shared" si="32"/>
        <v>Sca</v>
      </c>
      <c r="S65" s="144" t="str">
        <f t="shared" si="32"/>
        <v>TD</v>
      </c>
      <c r="T65" s="144" t="str">
        <f t="shared" si="32"/>
        <v>WvD</v>
      </c>
      <c r="U65" s="144" t="str">
        <f t="shared" si="32"/>
        <v>CE</v>
      </c>
      <c r="V65" s="144" t="str">
        <f t="shared" si="32"/>
        <v>AF</v>
      </c>
      <c r="W65" s="144" t="str">
        <f t="shared" si="32"/>
        <v>WG</v>
      </c>
      <c r="X65" s="144" t="str">
        <f t="shared" si="32"/>
        <v>TG</v>
      </c>
      <c r="Y65" s="144" t="str">
        <f t="shared" si="32"/>
        <v>RH</v>
      </c>
      <c r="Z65" s="144" t="str">
        <f t="shared" si="32"/>
        <v>CH</v>
      </c>
      <c r="AA65" s="144" t="str">
        <f t="shared" si="32"/>
        <v>KH</v>
      </c>
      <c r="AB65" s="144" t="str">
        <f t="shared" si="32"/>
        <v>MH</v>
      </c>
      <c r="AC65" s="144" t="str">
        <f t="shared" si="32"/>
        <v>MK</v>
      </c>
      <c r="AD65" s="144" t="str">
        <f t="shared" si="32"/>
        <v>VL</v>
      </c>
      <c r="AE65" s="144" t="str">
        <f t="shared" si="32"/>
        <v>EM</v>
      </c>
      <c r="AF65" s="144" t="str">
        <f t="shared" si="32"/>
        <v>DM</v>
      </c>
      <c r="AG65" s="144" t="str">
        <f t="shared" si="32"/>
        <v>JM</v>
      </c>
      <c r="AH65" s="144" t="str">
        <f t="shared" si="32"/>
        <v>UM</v>
      </c>
      <c r="AI65" s="144"/>
      <c r="AJ65" s="144" t="str">
        <f t="shared" si="32"/>
        <v>AO</v>
      </c>
      <c r="AK65" s="144" t="str">
        <f t="shared" si="32"/>
        <v>JvP</v>
      </c>
      <c r="AL65" s="144" t="str">
        <f t="shared" si="32"/>
        <v>CR</v>
      </c>
      <c r="AM65" s="144" t="str">
        <f t="shared" si="32"/>
        <v>IR</v>
      </c>
      <c r="AN65" s="144" t="str">
        <f t="shared" si="32"/>
        <v>JS</v>
      </c>
      <c r="AO65" s="144" t="str">
        <f t="shared" si="32"/>
        <v>BS</v>
      </c>
      <c r="AP65" s="144" t="str">
        <f t="shared" si="32"/>
        <v>MS</v>
      </c>
      <c r="AQ65" s="144" t="str">
        <f t="shared" si="32"/>
        <v>PV</v>
      </c>
      <c r="AR65" s="144" t="str">
        <f t="shared" si="32"/>
        <v>DV</v>
      </c>
      <c r="AS65" s="144" t="str">
        <f t="shared" si="32"/>
        <v>JW</v>
      </c>
      <c r="AT65" s="144" t="str">
        <f t="shared" si="32"/>
        <v>AW</v>
      </c>
      <c r="AU65" s="144" t="str">
        <f t="shared" si="32"/>
        <v>CYPL</v>
      </c>
      <c r="AV65" s="139" t="str">
        <f t="shared" si="32"/>
        <v>JB/OBP</v>
      </c>
      <c r="AW65" s="139"/>
      <c r="AX65" s="139"/>
      <c r="AY65" s="139" t="str">
        <f>AY2</f>
        <v>XT/D4</v>
      </c>
      <c r="AZ65" s="139"/>
      <c r="BA65" s="139"/>
      <c r="BB65" s="139" t="str">
        <f>BB2</f>
        <v>CD/D4</v>
      </c>
      <c r="BC65" s="139" t="e">
        <f>#REF!</f>
        <v>#REF!</v>
      </c>
      <c r="BD65" s="139"/>
      <c r="BE65" s="139"/>
      <c r="BF65" s="139"/>
      <c r="BG65" s="139"/>
      <c r="BH65" s="139"/>
      <c r="BI65" s="139" t="str">
        <f t="shared" ref="BI65:BM65" si="33">BI2</f>
        <v>KK/D4</v>
      </c>
      <c r="BJ65" s="139"/>
      <c r="BK65" s="139" t="str">
        <f t="shared" si="33"/>
        <v>JvZ/D4</v>
      </c>
      <c r="BL65" s="139" t="str">
        <f t="shared" si="33"/>
        <v>WOS/OBP</v>
      </c>
      <c r="BM65" s="139" t="str">
        <f t="shared" si="33"/>
        <v>Total</v>
      </c>
      <c r="BN65" s="139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</row>
    <row r="66" spans="1:77" hidden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BP66" s="6"/>
      <c r="BQ66" s="6"/>
      <c r="BR66" s="6"/>
      <c r="BS66" s="6"/>
      <c r="BT66" s="6"/>
      <c r="BU66" s="6"/>
      <c r="BV66" s="6"/>
      <c r="BW66" s="6"/>
      <c r="BX66" s="6"/>
      <c r="BY66" s="6"/>
    </row>
    <row r="67" spans="1:77" hidden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BP67" s="6"/>
      <c r="BQ67" s="6"/>
      <c r="BR67" s="6"/>
      <c r="BS67" s="6"/>
      <c r="BT67" s="6"/>
      <c r="BU67" s="6"/>
      <c r="BV67" s="6"/>
      <c r="BW67" s="6"/>
      <c r="BX67" s="6"/>
      <c r="BY67" s="6"/>
    </row>
    <row r="68" spans="1:77" ht="13.2" hidden="1" x14ac:dyDescent="0.25">
      <c r="I68" s="102"/>
      <c r="BP68" s="6"/>
      <c r="BQ68" s="6"/>
      <c r="BR68" s="6"/>
      <c r="BS68" s="6"/>
      <c r="BT68" s="6"/>
      <c r="BU68" s="6"/>
      <c r="BV68" s="6"/>
      <c r="BW68" s="6"/>
      <c r="BX68" s="6"/>
      <c r="BY68" s="6"/>
    </row>
    <row r="69" spans="1:77" ht="13.2" x14ac:dyDescent="0.25">
      <c r="I69" s="102"/>
      <c r="BP69" s="6"/>
      <c r="BQ69" s="6"/>
      <c r="BR69" s="6"/>
      <c r="BS69" s="6"/>
      <c r="BT69" s="6"/>
      <c r="BU69" s="6"/>
      <c r="BV69" s="6"/>
      <c r="BW69" s="6"/>
      <c r="BX69" s="6"/>
      <c r="BY69" s="6"/>
    </row>
    <row r="70" spans="1:77" ht="13.2" x14ac:dyDescent="0.25">
      <c r="A70" s="103" t="s">
        <v>27</v>
      </c>
      <c r="I70" s="102"/>
      <c r="BP70" s="6"/>
      <c r="BQ70" s="6"/>
      <c r="BR70" s="6"/>
      <c r="BS70" s="6"/>
      <c r="BT70" s="6"/>
      <c r="BU70" s="6"/>
      <c r="BV70" s="6"/>
      <c r="BW70" s="6"/>
      <c r="BX70" s="6"/>
      <c r="BY70" s="6"/>
    </row>
    <row r="71" spans="1:77" ht="13.2" x14ac:dyDescent="0.25">
      <c r="A71" s="104" t="s">
        <v>0</v>
      </c>
      <c r="I71" s="102"/>
      <c r="BP71" s="6"/>
      <c r="BQ71" s="6"/>
      <c r="BR71" s="6"/>
      <c r="BS71" s="6"/>
      <c r="BT71" s="6"/>
      <c r="BU71" s="6"/>
      <c r="BV71" s="6"/>
      <c r="BW71" s="6"/>
      <c r="BX71" s="6"/>
      <c r="BY71" s="6"/>
    </row>
    <row r="72" spans="1:77" ht="13.2" x14ac:dyDescent="0.25">
      <c r="A72" s="105" t="s">
        <v>28</v>
      </c>
      <c r="I72" s="102"/>
      <c r="BP72" s="6"/>
      <c r="BQ72" s="6"/>
      <c r="BR72" s="6"/>
      <c r="BS72" s="6"/>
      <c r="BT72" s="6"/>
      <c r="BU72" s="6"/>
      <c r="BV72" s="6"/>
      <c r="BW72" s="6"/>
      <c r="BX72" s="6"/>
      <c r="BY72" s="6"/>
    </row>
    <row r="73" spans="1:77" ht="13.2" x14ac:dyDescent="0.25">
      <c r="I73" s="102"/>
      <c r="BP73" s="6"/>
      <c r="BQ73" s="6"/>
      <c r="BR73" s="6"/>
      <c r="BS73" s="6"/>
      <c r="BT73" s="6"/>
      <c r="BU73" s="6"/>
      <c r="BV73" s="6"/>
      <c r="BW73" s="6"/>
      <c r="BX73" s="6"/>
      <c r="BY73" s="6"/>
    </row>
  </sheetData>
  <autoFilter ref="A3:BY3"/>
  <mergeCells count="1">
    <mergeCell ref="AV1:BL1"/>
  </mergeCells>
  <phoneticPr fontId="4" type="noConversion"/>
  <conditionalFormatting sqref="BO5">
    <cfRule type="containsText" dxfId="29" priority="5" operator="containsText" text="Oke">
      <formula>NOT(ISERROR(SEARCH("Oke",BO5)))</formula>
    </cfRule>
    <cfRule type="containsText" dxfId="28" priority="6" operator="containsText" text="Problem">
      <formula>NOT(ISERROR(SEARCH("Problem",BO5)))</formula>
    </cfRule>
    <cfRule type="colorScale" priority="7">
      <colorScale>
        <cfvo type="formula" val="$BO$5"/>
        <cfvo type="max"/>
        <color rgb="FF00B050"/>
        <color rgb="FFFF0000"/>
      </colorScale>
    </cfRule>
  </conditionalFormatting>
  <conditionalFormatting sqref="BO5:BO52">
    <cfRule type="containsText" dxfId="27" priority="3" operator="containsText" text="Oke">
      <formula>NOT(ISERROR(SEARCH("Oke",BO5)))</formula>
    </cfRule>
    <cfRule type="containsText" dxfId="26" priority="4" operator="containsText" text="Problem">
      <formula>NOT(ISERROR(SEARCH("Problem",BO5)))</formula>
    </cfRule>
  </conditionalFormatting>
  <conditionalFormatting sqref="BP5">
    <cfRule type="containsText" dxfId="25" priority="1" operator="containsText" text="Oke">
      <formula>NOT(ISERROR(SEARCH("Oke",BP5)))</formula>
    </cfRule>
    <cfRule type="containsText" dxfId="24" priority="2" operator="containsText" text="Problem">
      <formula>NOT(ISERROR(SEARCH("Problem",BP5)))</formula>
    </cfRule>
  </conditionalFormatting>
  <pageMargins left="0.35433070866141736" right="0.35433070866141736" top="0.39370078740157483" bottom="0.39370078740157483" header="0.51181102362204722" footer="0.51181102362204722"/>
  <pageSetup paperSize="9" scale="42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BW66"/>
  <sheetViews>
    <sheetView zoomScale="86" zoomScaleNormal="86" workbookViewId="0">
      <pane xSplit="14" ySplit="25" topLeftCell="O26" activePane="bottomRight" state="frozen"/>
      <selection activeCell="AZ2" sqref="AZ2"/>
      <selection pane="topRight" activeCell="AZ2" sqref="AZ2"/>
      <selection pane="bottomLeft" activeCell="AZ2" sqref="AZ2"/>
      <selection pane="bottomRight" activeCell="AZ8" sqref="AZ8"/>
    </sheetView>
  </sheetViews>
  <sheetFormatPr defaultColWidth="8.88671875" defaultRowHeight="10.199999999999999" x14ac:dyDescent="0.2"/>
  <cols>
    <col min="1" max="1" width="9.5546875" style="1" customWidth="1"/>
    <col min="2" max="2" width="30.88671875" style="128" customWidth="1"/>
    <col min="3" max="3" width="10" style="1" customWidth="1"/>
    <col min="4" max="4" width="19.5546875" style="1" bestFit="1" customWidth="1"/>
    <col min="5" max="5" width="4.88671875" style="2" customWidth="1"/>
    <col min="6" max="6" width="4.44140625" style="1" customWidth="1"/>
    <col min="7" max="7" width="4.88671875" style="1" customWidth="1"/>
    <col min="8" max="8" width="6.44140625" style="1" customWidth="1"/>
    <col min="9" max="9" width="4.88671875" style="1" customWidth="1"/>
    <col min="10" max="10" width="4.5546875" style="1" customWidth="1"/>
    <col min="11" max="11" width="6.44140625" style="1" customWidth="1"/>
    <col min="12" max="13" width="8.44140625" style="3" customWidth="1"/>
    <col min="14" max="14" width="8.109375" style="1" customWidth="1"/>
    <col min="15" max="15" width="5" style="4" customWidth="1"/>
    <col min="16" max="16" width="4.6640625" style="4" customWidth="1"/>
    <col min="17" max="17" width="3.88671875" style="4" customWidth="1"/>
    <col min="18" max="18" width="4.88671875" style="4" customWidth="1"/>
    <col min="19" max="19" width="3.88671875" style="4" customWidth="1"/>
    <col min="20" max="20" width="5.33203125" style="4" customWidth="1"/>
    <col min="21" max="22" width="3.88671875" style="4" customWidth="1"/>
    <col min="23" max="23" width="4.44140625" style="4" customWidth="1"/>
    <col min="24" max="26" width="4" style="4" customWidth="1"/>
    <col min="27" max="27" width="4" style="5" customWidth="1"/>
    <col min="28" max="29" width="4.109375" style="4" customWidth="1"/>
    <col min="30" max="30" width="3.88671875" style="4" customWidth="1"/>
    <col min="31" max="31" width="4" style="4" customWidth="1"/>
    <col min="32" max="32" width="4.109375" style="4" customWidth="1"/>
    <col min="33" max="33" width="3.88671875" style="4" customWidth="1"/>
    <col min="34" max="35" width="4.109375" style="4" customWidth="1"/>
    <col min="36" max="36" width="4.5546875" style="4" customWidth="1"/>
    <col min="37" max="37" width="4" style="4" customWidth="1"/>
    <col min="38" max="38" width="3.109375" style="4" bestFit="1" customWidth="1"/>
    <col min="39" max="39" width="3.5546875" style="5" bestFit="1" customWidth="1"/>
    <col min="40" max="40" width="4" style="5" bestFit="1" customWidth="1"/>
    <col min="41" max="41" width="4.109375" style="5" bestFit="1" customWidth="1"/>
    <col min="42" max="43" width="4" style="5" bestFit="1" customWidth="1"/>
    <col min="44" max="44" width="4" style="4" customWidth="1"/>
    <col min="45" max="45" width="4.33203125" style="4" bestFit="1" customWidth="1"/>
    <col min="46" max="46" width="6.33203125" style="4" bestFit="1" customWidth="1"/>
    <col min="47" max="47" width="8.44140625" style="5" bestFit="1" customWidth="1"/>
    <col min="48" max="48" width="7" style="5" bestFit="1" customWidth="1"/>
    <col min="49" max="49" width="8.6640625" style="5" bestFit="1" customWidth="1"/>
    <col min="50" max="50" width="6.88671875" style="5" bestFit="1" customWidth="1"/>
    <col min="51" max="51" width="8" style="5" bestFit="1" customWidth="1"/>
    <col min="52" max="52" width="8" style="5" customWidth="1"/>
    <col min="53" max="53" width="9" style="5" bestFit="1" customWidth="1"/>
    <col min="54" max="54" width="6.88671875" style="5" bestFit="1" customWidth="1"/>
    <col min="55" max="56" width="7.5546875" style="5" bestFit="1" customWidth="1"/>
    <col min="57" max="57" width="6.88671875" style="5" bestFit="1" customWidth="1"/>
    <col min="58" max="58" width="8.33203125" style="5" bestFit="1" customWidth="1"/>
    <col min="59" max="59" width="7.44140625" style="5" bestFit="1" customWidth="1"/>
    <col min="60" max="60" width="6.88671875" style="5" bestFit="1" customWidth="1"/>
    <col min="61" max="61" width="8" style="5" bestFit="1" customWidth="1"/>
    <col min="62" max="62" width="8" style="5" customWidth="1"/>
    <col min="63" max="63" width="7.6640625" style="5" bestFit="1" customWidth="1"/>
    <col min="64" max="64" width="10.109375" style="5" bestFit="1" customWidth="1"/>
    <col min="65" max="65" width="10.44140625" style="4" customWidth="1"/>
    <col min="66" max="75" width="8.88671875" style="21" customWidth="1"/>
    <col min="76" max="16384" width="8.88671875" style="6"/>
  </cols>
  <sheetData>
    <row r="1" spans="1:75" ht="12.75" customHeight="1" x14ac:dyDescent="0.2">
      <c r="A1" s="7" t="s">
        <v>73</v>
      </c>
      <c r="B1" s="129"/>
      <c r="C1" s="8"/>
      <c r="D1" s="8"/>
      <c r="E1" s="9"/>
      <c r="F1" s="8"/>
      <c r="G1" s="8"/>
      <c r="H1" s="10"/>
      <c r="I1" s="77"/>
      <c r="J1" s="81"/>
      <c r="K1" s="11" t="s">
        <v>16</v>
      </c>
      <c r="L1" s="11"/>
      <c r="M1" s="11"/>
      <c r="N1" s="12"/>
      <c r="O1" s="230"/>
      <c r="P1" s="219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 t="s">
        <v>694</v>
      </c>
      <c r="AU1" s="332" t="s">
        <v>694</v>
      </c>
      <c r="AV1" s="333"/>
      <c r="AW1" s="333"/>
      <c r="AX1" s="333"/>
      <c r="AY1" s="333"/>
      <c r="AZ1" s="333"/>
      <c r="BA1" s="333"/>
      <c r="BB1" s="333"/>
      <c r="BC1" s="333"/>
      <c r="BD1" s="333"/>
      <c r="BE1" s="333"/>
      <c r="BF1" s="333"/>
      <c r="BG1" s="333"/>
      <c r="BH1" s="333"/>
      <c r="BI1" s="333"/>
      <c r="BJ1" s="333"/>
      <c r="BK1" s="333"/>
      <c r="BL1" s="259"/>
      <c r="BN1" s="6"/>
      <c r="BO1" s="6"/>
      <c r="BP1" s="6"/>
      <c r="BQ1" s="6"/>
      <c r="BR1" s="6"/>
      <c r="BS1" s="6"/>
      <c r="BT1" s="6"/>
      <c r="BU1" s="6"/>
      <c r="BV1" s="6"/>
      <c r="BW1" s="6"/>
    </row>
    <row r="2" spans="1:75" ht="30.6" x14ac:dyDescent="0.2">
      <c r="A2" s="13" t="s">
        <v>82</v>
      </c>
      <c r="B2" s="130" t="s">
        <v>83</v>
      </c>
      <c r="C2" s="14" t="s">
        <v>611</v>
      </c>
      <c r="D2" s="14" t="s">
        <v>84</v>
      </c>
      <c r="E2" s="82" t="s">
        <v>32</v>
      </c>
      <c r="F2" s="16" t="s">
        <v>33</v>
      </c>
      <c r="G2" s="16" t="s">
        <v>33</v>
      </c>
      <c r="H2" s="17" t="s">
        <v>74</v>
      </c>
      <c r="I2" s="78" t="s">
        <v>55</v>
      </c>
      <c r="J2" s="164" t="s">
        <v>56</v>
      </c>
      <c r="K2" s="165" t="s">
        <v>43</v>
      </c>
      <c r="L2" s="166" t="s">
        <v>136</v>
      </c>
      <c r="M2" s="167" t="s">
        <v>137</v>
      </c>
      <c r="N2" s="168" t="s">
        <v>86</v>
      </c>
      <c r="O2" s="20" t="s">
        <v>79</v>
      </c>
      <c r="P2" s="16" t="s">
        <v>152</v>
      </c>
      <c r="Q2" s="16" t="s">
        <v>69</v>
      </c>
      <c r="R2" s="73" t="s">
        <v>145</v>
      </c>
      <c r="S2" s="16" t="s">
        <v>13</v>
      </c>
      <c r="T2" s="192" t="s">
        <v>14</v>
      </c>
      <c r="U2" s="16" t="s">
        <v>102</v>
      </c>
      <c r="V2" s="73" t="s">
        <v>129</v>
      </c>
      <c r="W2" s="16" t="s">
        <v>12</v>
      </c>
      <c r="X2" s="218" t="s">
        <v>33</v>
      </c>
      <c r="Y2" s="16" t="s">
        <v>76</v>
      </c>
      <c r="Z2" s="16" t="s">
        <v>146</v>
      </c>
      <c r="AA2" s="16" t="s">
        <v>63</v>
      </c>
      <c r="AB2" s="16" t="s">
        <v>78</v>
      </c>
      <c r="AC2" s="73" t="s">
        <v>133</v>
      </c>
      <c r="AD2" s="218" t="s">
        <v>128</v>
      </c>
      <c r="AE2" s="218" t="s">
        <v>156</v>
      </c>
      <c r="AF2" s="312" t="s">
        <v>158</v>
      </c>
      <c r="AG2" s="16" t="s">
        <v>70</v>
      </c>
      <c r="AH2" s="16" t="s">
        <v>77</v>
      </c>
      <c r="AI2" s="73" t="s">
        <v>157</v>
      </c>
      <c r="AJ2" s="73" t="s">
        <v>149</v>
      </c>
      <c r="AK2" s="73" t="s">
        <v>80</v>
      </c>
      <c r="AL2" s="16" t="s">
        <v>100</v>
      </c>
      <c r="AM2" s="218" t="s">
        <v>29</v>
      </c>
      <c r="AN2" s="16" t="s">
        <v>62</v>
      </c>
      <c r="AO2" s="16" t="s">
        <v>35</v>
      </c>
      <c r="AP2" s="16" t="s">
        <v>75</v>
      </c>
      <c r="AQ2" s="16" t="s">
        <v>127</v>
      </c>
      <c r="AR2" s="218" t="s">
        <v>147</v>
      </c>
      <c r="AS2" s="73" t="s">
        <v>101</v>
      </c>
      <c r="AT2" s="73" t="s">
        <v>148</v>
      </c>
      <c r="AU2" s="225" t="s">
        <v>679</v>
      </c>
      <c r="AV2" s="233" t="s">
        <v>680</v>
      </c>
      <c r="AW2" s="225" t="s">
        <v>681</v>
      </c>
      <c r="AX2" s="225" t="s">
        <v>722</v>
      </c>
      <c r="AY2" s="218" t="s">
        <v>682</v>
      </c>
      <c r="AZ2" s="265" t="s">
        <v>707</v>
      </c>
      <c r="BA2" s="225" t="s">
        <v>709</v>
      </c>
      <c r="BB2" s="233" t="s">
        <v>683</v>
      </c>
      <c r="BC2" s="225" t="s">
        <v>684</v>
      </c>
      <c r="BD2" s="225" t="s">
        <v>685</v>
      </c>
      <c r="BE2" s="218" t="s">
        <v>686</v>
      </c>
      <c r="BF2" s="225" t="s">
        <v>687</v>
      </c>
      <c r="BG2" s="225" t="s">
        <v>688</v>
      </c>
      <c r="BH2" s="256" t="s">
        <v>689</v>
      </c>
      <c r="BI2" s="256" t="s">
        <v>708</v>
      </c>
      <c r="BJ2" s="256" t="s">
        <v>692</v>
      </c>
      <c r="BK2" s="256" t="s">
        <v>690</v>
      </c>
      <c r="BL2" s="258" t="s">
        <v>81</v>
      </c>
      <c r="BM2" s="185" t="s">
        <v>34</v>
      </c>
      <c r="BN2" s="6"/>
      <c r="BO2" s="6"/>
      <c r="BP2" s="6"/>
      <c r="BQ2" s="6"/>
      <c r="BR2" s="6"/>
      <c r="BS2" s="6"/>
      <c r="BT2" s="6"/>
      <c r="BU2" s="6"/>
      <c r="BV2" s="6"/>
      <c r="BW2" s="6"/>
    </row>
    <row r="3" spans="1:75" x14ac:dyDescent="0.2">
      <c r="A3" s="22"/>
      <c r="B3" s="131"/>
      <c r="C3" s="23"/>
      <c r="D3" s="23"/>
      <c r="E3" s="15"/>
      <c r="F3" s="16"/>
      <c r="G3" s="16"/>
      <c r="H3" s="17"/>
      <c r="I3" s="78"/>
      <c r="J3" s="82"/>
      <c r="K3" s="80"/>
      <c r="L3" s="18"/>
      <c r="M3" s="163"/>
      <c r="N3" s="19"/>
      <c r="O3" s="20"/>
      <c r="P3" s="20"/>
      <c r="Q3" s="20"/>
      <c r="R3" s="20"/>
      <c r="S3" s="20"/>
      <c r="T3" s="16"/>
      <c r="U3" s="16"/>
      <c r="V3" s="192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92"/>
      <c r="AN3" s="16"/>
      <c r="AO3" s="16"/>
      <c r="AP3" s="16"/>
      <c r="AQ3" s="16"/>
      <c r="AR3" s="16"/>
      <c r="AS3" s="16"/>
      <c r="AT3" s="16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61"/>
      <c r="BI3" s="263"/>
      <c r="BJ3" s="263"/>
      <c r="BK3" s="127"/>
      <c r="BL3" s="188"/>
      <c r="BM3" s="185"/>
      <c r="BN3" s="6"/>
      <c r="BO3" s="6"/>
      <c r="BP3" s="6"/>
      <c r="BQ3" s="6"/>
      <c r="BR3" s="6"/>
      <c r="BS3" s="6"/>
      <c r="BT3" s="6"/>
      <c r="BU3" s="6"/>
      <c r="BV3" s="6"/>
      <c r="BW3" s="6"/>
    </row>
    <row r="4" spans="1:75" ht="12" customHeight="1" x14ac:dyDescent="0.3">
      <c r="A4" s="203" t="s">
        <v>275</v>
      </c>
      <c r="B4" s="203" t="s">
        <v>273</v>
      </c>
      <c r="C4" s="203" t="s">
        <v>27</v>
      </c>
      <c r="D4" s="203" t="s">
        <v>711</v>
      </c>
      <c r="E4" s="208"/>
      <c r="F4" s="24">
        <f t="shared" ref="F4:F17" si="0">E4/12</f>
        <v>0</v>
      </c>
      <c r="G4" s="249">
        <f t="shared" ref="G4:G17" si="1">ROUNDUP(F4,0)</f>
        <v>0</v>
      </c>
      <c r="H4" s="101">
        <f t="shared" ref="H4:H17" si="2">IF(G4=0,0,E4/G4)</f>
        <v>0</v>
      </c>
      <c r="I4" s="79"/>
      <c r="J4" s="226">
        <f>I4*2*normuren!$B$26</f>
        <v>0</v>
      </c>
      <c r="K4" s="227">
        <f>IF(G4&lt;3,normuren!$B$8,IF(AND(G4&lt;6,G4&gt;2),normuren!$B$9,IF(AND(G4&lt;9,G4&gt;5),normuren!$B$10,normuren!$B$11)))</f>
        <v>15</v>
      </c>
      <c r="L4" s="228">
        <f>normuren!$B$28</f>
        <v>10</v>
      </c>
      <c r="M4" s="228">
        <v>20</v>
      </c>
      <c r="N4" s="250">
        <f>normuren!$B$29</f>
        <v>1.5</v>
      </c>
      <c r="O4" s="115"/>
      <c r="P4" s="286"/>
      <c r="Q4" s="119"/>
      <c r="R4" s="266"/>
      <c r="S4" s="119"/>
      <c r="T4" s="119"/>
      <c r="U4" s="115"/>
      <c r="V4" s="260"/>
      <c r="W4" s="286"/>
      <c r="X4" s="115"/>
      <c r="Y4" s="286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220"/>
      <c r="AL4" s="115"/>
      <c r="AM4" s="288" t="s">
        <v>696</v>
      </c>
      <c r="AN4" s="115"/>
      <c r="AO4" s="115"/>
      <c r="AP4" s="115"/>
      <c r="AQ4" s="286"/>
      <c r="AR4" s="115"/>
      <c r="AS4" s="288" t="s">
        <v>696</v>
      </c>
      <c r="AT4" s="286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286"/>
      <c r="BL4" s="223">
        <f t="shared" ref="BL4:BL19" si="3">SUM(O4:BK4)</f>
        <v>0</v>
      </c>
      <c r="BM4" s="224">
        <f t="shared" ref="BM4:BM19" si="4">G4-BL4</f>
        <v>0</v>
      </c>
      <c r="BN4" s="209" t="str">
        <f t="shared" ref="BN4:BN17" si="5">IF(BM4&gt;0,"Problem","Oke")</f>
        <v>Oke</v>
      </c>
      <c r="BO4" s="209" t="s">
        <v>712</v>
      </c>
      <c r="BP4" s="6"/>
      <c r="BQ4" s="6"/>
      <c r="BR4" s="6"/>
      <c r="BS4" s="6"/>
      <c r="BT4" s="6"/>
      <c r="BU4" s="6"/>
      <c r="BV4" s="6"/>
      <c r="BW4" s="6"/>
    </row>
    <row r="5" spans="1:75" ht="13.8" x14ac:dyDescent="0.3">
      <c r="A5" s="203" t="s">
        <v>398</v>
      </c>
      <c r="B5" s="203" t="s">
        <v>386</v>
      </c>
      <c r="C5" s="203" t="s">
        <v>27</v>
      </c>
      <c r="D5" s="203" t="s">
        <v>208</v>
      </c>
      <c r="E5" s="208"/>
      <c r="F5" s="24">
        <f t="shared" si="0"/>
        <v>0</v>
      </c>
      <c r="G5" s="249">
        <f t="shared" si="1"/>
        <v>0</v>
      </c>
      <c r="H5" s="101">
        <f t="shared" si="2"/>
        <v>0</v>
      </c>
      <c r="I5" s="79"/>
      <c r="J5" s="226">
        <f>I5*2*normuren!$B$26</f>
        <v>0</v>
      </c>
      <c r="K5" s="227">
        <f>IF(G5&lt;3,normuren!$B$8,IF(AND(G5&lt;6,G5&gt;2),normuren!$B$9,IF(AND(G5&lt;9,G5&gt;5),normuren!$B$10,normuren!$B$11)))</f>
        <v>15</v>
      </c>
      <c r="L5" s="228">
        <f>normuren!$B$28</f>
        <v>10</v>
      </c>
      <c r="M5" s="228">
        <v>20</v>
      </c>
      <c r="N5" s="250">
        <f>normuren!$B$29</f>
        <v>1.5</v>
      </c>
      <c r="O5" s="115"/>
      <c r="P5" s="286"/>
      <c r="Q5" s="119"/>
      <c r="R5" s="266"/>
      <c r="S5" s="119"/>
      <c r="T5" s="119"/>
      <c r="U5" s="115"/>
      <c r="V5" s="288">
        <v>1</v>
      </c>
      <c r="W5" s="286"/>
      <c r="X5" s="115"/>
      <c r="Y5" s="286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220"/>
      <c r="AL5" s="115"/>
      <c r="AM5" s="286"/>
      <c r="AN5" s="115"/>
      <c r="AO5" s="115"/>
      <c r="AP5" s="115"/>
      <c r="AQ5" s="286"/>
      <c r="AR5" s="115"/>
      <c r="AS5" s="115"/>
      <c r="AT5" s="286"/>
      <c r="AU5" s="288">
        <v>3</v>
      </c>
      <c r="AV5" s="115"/>
      <c r="AW5" s="288" t="s">
        <v>696</v>
      </c>
      <c r="AX5" s="115"/>
      <c r="AY5" s="115"/>
      <c r="AZ5" s="115"/>
      <c r="BA5" s="115"/>
      <c r="BB5" s="115"/>
      <c r="BC5" s="115"/>
      <c r="BD5" s="288">
        <v>3</v>
      </c>
      <c r="BE5" s="115"/>
      <c r="BF5" s="115"/>
      <c r="BG5" s="115"/>
      <c r="BH5" s="115"/>
      <c r="BI5" s="115"/>
      <c r="BJ5" s="115"/>
      <c r="BK5" s="286"/>
      <c r="BL5" s="223">
        <f t="shared" si="3"/>
        <v>7</v>
      </c>
      <c r="BM5" s="224">
        <f t="shared" si="4"/>
        <v>-7</v>
      </c>
      <c r="BN5" s="209" t="str">
        <f t="shared" si="5"/>
        <v>Oke</v>
      </c>
      <c r="BO5" s="6"/>
      <c r="BP5" s="6"/>
      <c r="BQ5" s="6"/>
      <c r="BR5" s="6"/>
      <c r="BS5" s="6"/>
      <c r="BT5" s="6"/>
      <c r="BU5" s="6"/>
      <c r="BV5" s="6"/>
      <c r="BW5" s="6"/>
    </row>
    <row r="6" spans="1:75" ht="13.8" x14ac:dyDescent="0.3">
      <c r="A6" s="203" t="s">
        <v>399</v>
      </c>
      <c r="B6" s="203" t="s">
        <v>387</v>
      </c>
      <c r="C6" s="203" t="s">
        <v>27</v>
      </c>
      <c r="D6" s="203" t="s">
        <v>205</v>
      </c>
      <c r="E6" s="208"/>
      <c r="F6" s="24">
        <f t="shared" si="0"/>
        <v>0</v>
      </c>
      <c r="G6" s="249">
        <f t="shared" si="1"/>
        <v>0</v>
      </c>
      <c r="H6" s="101">
        <f t="shared" si="2"/>
        <v>0</v>
      </c>
      <c r="I6" s="79"/>
      <c r="J6" s="226">
        <f>I6*2*normuren!$B$26</f>
        <v>0</v>
      </c>
      <c r="K6" s="227">
        <f>IF(G6&lt;3,normuren!$B$8,IF(AND(G6&lt;6,G6&gt;2),normuren!$B$9,IF(AND(G6&lt;9,G6&gt;5),normuren!$B$10,normuren!$B$11)))</f>
        <v>15</v>
      </c>
      <c r="L6" s="228">
        <f>normuren!$B$28</f>
        <v>10</v>
      </c>
      <c r="M6" s="228">
        <v>20</v>
      </c>
      <c r="N6" s="250">
        <f>normuren!$B$29</f>
        <v>1.5</v>
      </c>
      <c r="O6" s="115" t="s">
        <v>696</v>
      </c>
      <c r="P6" s="286"/>
      <c r="Q6" s="119"/>
      <c r="R6" s="266"/>
      <c r="S6" s="119"/>
      <c r="T6" s="119"/>
      <c r="U6" s="115"/>
      <c r="V6" s="115"/>
      <c r="W6" s="286"/>
      <c r="X6" s="115"/>
      <c r="Y6" s="286"/>
      <c r="Z6" s="115"/>
      <c r="AA6" s="115"/>
      <c r="AB6" s="115"/>
      <c r="AC6" s="115"/>
      <c r="AD6" s="115"/>
      <c r="AE6" s="288">
        <v>1</v>
      </c>
      <c r="AF6" s="115"/>
      <c r="AG6" s="288">
        <v>1</v>
      </c>
      <c r="AH6" s="115"/>
      <c r="AI6" s="115"/>
      <c r="AJ6" s="115"/>
      <c r="AK6" s="220"/>
      <c r="AL6" s="115"/>
      <c r="AM6" s="286"/>
      <c r="AN6" s="115"/>
      <c r="AO6" s="115"/>
      <c r="AP6" s="115"/>
      <c r="AQ6" s="286"/>
      <c r="AR6" s="115"/>
      <c r="AS6" s="115"/>
      <c r="AT6" s="286"/>
      <c r="AU6" s="115"/>
      <c r="AV6" s="115"/>
      <c r="AW6" s="288" t="s">
        <v>696</v>
      </c>
      <c r="AX6" s="115"/>
      <c r="AY6" s="115"/>
      <c r="AZ6" s="115"/>
      <c r="BA6" s="115"/>
      <c r="BB6" s="115"/>
      <c r="BC6" s="115"/>
      <c r="BD6" s="115"/>
      <c r="BE6" s="115"/>
      <c r="BF6" s="115"/>
      <c r="BG6" s="288">
        <v>1</v>
      </c>
      <c r="BH6" s="115"/>
      <c r="BI6" s="115"/>
      <c r="BJ6" s="288">
        <v>1</v>
      </c>
      <c r="BK6" s="286"/>
      <c r="BL6" s="223">
        <f t="shared" si="3"/>
        <v>4</v>
      </c>
      <c r="BM6" s="224">
        <f t="shared" si="4"/>
        <v>-4</v>
      </c>
      <c r="BN6" s="209" t="str">
        <f t="shared" si="5"/>
        <v>Oke</v>
      </c>
      <c r="BO6" s="6"/>
      <c r="BP6" s="6"/>
      <c r="BQ6" s="6"/>
      <c r="BR6" s="6"/>
      <c r="BS6" s="6"/>
      <c r="BT6" s="6"/>
      <c r="BU6" s="6"/>
      <c r="BV6" s="6"/>
      <c r="BW6" s="6"/>
    </row>
    <row r="7" spans="1:75" ht="14.4" x14ac:dyDescent="0.3">
      <c r="A7" s="203" t="s">
        <v>400</v>
      </c>
      <c r="B7" s="203" t="s">
        <v>388</v>
      </c>
      <c r="C7" s="203" t="s">
        <v>27</v>
      </c>
      <c r="D7" s="205" t="s">
        <v>621</v>
      </c>
      <c r="E7" s="208"/>
      <c r="F7" s="24">
        <f t="shared" si="0"/>
        <v>0</v>
      </c>
      <c r="G7" s="249">
        <f t="shared" si="1"/>
        <v>0</v>
      </c>
      <c r="H7" s="101">
        <f t="shared" si="2"/>
        <v>0</v>
      </c>
      <c r="I7" s="79"/>
      <c r="J7" s="226">
        <f>I7*2*normuren!$B$26</f>
        <v>0</v>
      </c>
      <c r="K7" s="227">
        <f>IF(G7&lt;3,normuren!$B$8,IF(AND(G7&lt;6,G7&gt;2),normuren!$B$9,IF(AND(G7&lt;9,G7&gt;5),normuren!$B$10,normuren!$B$11)))</f>
        <v>15</v>
      </c>
      <c r="L7" s="228">
        <f>normuren!$B$28</f>
        <v>10</v>
      </c>
      <c r="M7" s="228">
        <v>20</v>
      </c>
      <c r="N7" s="250">
        <f>normuren!$B$29</f>
        <v>1.5</v>
      </c>
      <c r="O7" s="115"/>
      <c r="P7" s="286"/>
      <c r="Q7" s="119"/>
      <c r="R7" s="266"/>
      <c r="S7" s="119"/>
      <c r="T7" s="119"/>
      <c r="U7" s="115"/>
      <c r="V7" s="115"/>
      <c r="W7" s="287"/>
      <c r="X7" s="290" t="s">
        <v>696</v>
      </c>
      <c r="Y7" s="286"/>
      <c r="Z7" s="115"/>
      <c r="AA7" s="115"/>
      <c r="AB7" s="115"/>
      <c r="AC7" s="115"/>
      <c r="AD7" s="288">
        <v>1</v>
      </c>
      <c r="AE7" s="115"/>
      <c r="AF7" s="115"/>
      <c r="AG7" s="115"/>
      <c r="AH7" s="115"/>
      <c r="AI7" s="115"/>
      <c r="AJ7" s="115"/>
      <c r="AK7" s="220"/>
      <c r="AL7" s="115"/>
      <c r="AM7" s="286"/>
      <c r="AN7" s="115"/>
      <c r="AO7" s="115"/>
      <c r="AP7" s="115"/>
      <c r="AQ7" s="286"/>
      <c r="AR7" s="173"/>
      <c r="AS7" s="286" t="s">
        <v>695</v>
      </c>
      <c r="AT7" s="286"/>
      <c r="AU7" s="173"/>
      <c r="AV7" s="173"/>
      <c r="AW7" s="300">
        <v>1</v>
      </c>
      <c r="AX7" s="173"/>
      <c r="AY7" s="173"/>
      <c r="AZ7" s="173"/>
      <c r="BA7" s="173"/>
      <c r="BB7" s="288">
        <v>1</v>
      </c>
      <c r="BC7" s="290">
        <v>1</v>
      </c>
      <c r="BD7" s="173"/>
      <c r="BE7" s="173"/>
      <c r="BF7" s="173"/>
      <c r="BG7" s="173"/>
      <c r="BH7" s="173"/>
      <c r="BI7" s="290" t="s">
        <v>696</v>
      </c>
      <c r="BJ7" s="173"/>
      <c r="BK7" s="286"/>
      <c r="BL7" s="223">
        <f t="shared" si="3"/>
        <v>4</v>
      </c>
      <c r="BM7" s="224">
        <f t="shared" si="4"/>
        <v>-4</v>
      </c>
      <c r="BN7" s="209" t="str">
        <f t="shared" si="5"/>
        <v>Oke</v>
      </c>
      <c r="BO7" s="6"/>
      <c r="BP7" s="6"/>
      <c r="BQ7" s="6"/>
      <c r="BR7" s="6"/>
      <c r="BS7" s="6"/>
      <c r="BT7" s="6"/>
      <c r="BU7" s="6"/>
      <c r="BV7" s="6"/>
      <c r="BW7" s="6"/>
    </row>
    <row r="8" spans="1:75" ht="12.9" customHeight="1" x14ac:dyDescent="0.3">
      <c r="A8" s="203" t="s">
        <v>401</v>
      </c>
      <c r="B8" s="203" t="s">
        <v>389</v>
      </c>
      <c r="C8" s="203" t="s">
        <v>27</v>
      </c>
      <c r="D8" s="203" t="s">
        <v>622</v>
      </c>
      <c r="E8" s="208"/>
      <c r="F8" s="24">
        <f t="shared" si="0"/>
        <v>0</v>
      </c>
      <c r="G8" s="249">
        <f t="shared" si="1"/>
        <v>0</v>
      </c>
      <c r="H8" s="101">
        <f t="shared" si="2"/>
        <v>0</v>
      </c>
      <c r="I8" s="79"/>
      <c r="J8" s="226">
        <f>I8*2*normuren!$B$26</f>
        <v>0</v>
      </c>
      <c r="K8" s="227">
        <f>IF(G8&lt;3,normuren!$B$8,IF(AND(G8&lt;6,G8&gt;2),normuren!$B$9,IF(AND(G8&lt;9,G8&gt;5),normuren!$B$10,normuren!$B$11)))</f>
        <v>15</v>
      </c>
      <c r="L8" s="228">
        <f>normuren!$B$28</f>
        <v>10</v>
      </c>
      <c r="M8" s="228">
        <v>20</v>
      </c>
      <c r="N8" s="250">
        <f>normuren!$B$29</f>
        <v>1.5</v>
      </c>
      <c r="O8" s="115"/>
      <c r="P8" s="286"/>
      <c r="Q8" s="119"/>
      <c r="R8" s="266"/>
      <c r="S8" s="119"/>
      <c r="T8" s="119"/>
      <c r="U8" s="288">
        <v>1</v>
      </c>
      <c r="V8" s="115"/>
      <c r="W8" s="286"/>
      <c r="X8" s="288" t="s">
        <v>696</v>
      </c>
      <c r="Y8" s="286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220"/>
      <c r="AL8" s="115"/>
      <c r="AM8" s="286"/>
      <c r="AN8" s="115"/>
      <c r="AO8" s="288">
        <v>1</v>
      </c>
      <c r="AP8" s="115"/>
      <c r="AQ8" s="286"/>
      <c r="AR8" s="288">
        <v>1</v>
      </c>
      <c r="AS8" s="115"/>
      <c r="AT8" s="286"/>
      <c r="AU8" s="115"/>
      <c r="AV8" s="115"/>
      <c r="AW8" s="284">
        <v>1</v>
      </c>
      <c r="AX8" s="115"/>
      <c r="AY8" s="115"/>
      <c r="AZ8" s="284" t="s">
        <v>699</v>
      </c>
      <c r="BA8" s="115"/>
      <c r="BB8" s="288">
        <v>1</v>
      </c>
      <c r="BC8" s="115"/>
      <c r="BD8" s="115"/>
      <c r="BE8" s="115"/>
      <c r="BF8" s="115"/>
      <c r="BG8" s="288">
        <v>1</v>
      </c>
      <c r="BH8" s="115"/>
      <c r="BI8" s="288" t="s">
        <v>696</v>
      </c>
      <c r="BJ8" s="115"/>
      <c r="BK8" s="286"/>
      <c r="BL8" s="223">
        <f t="shared" si="3"/>
        <v>6</v>
      </c>
      <c r="BM8" s="224">
        <f t="shared" si="4"/>
        <v>-6</v>
      </c>
      <c r="BN8" s="209" t="str">
        <f t="shared" si="5"/>
        <v>Oke</v>
      </c>
      <c r="BO8" s="6"/>
      <c r="BP8" s="6"/>
      <c r="BQ8" s="6"/>
      <c r="BR8" s="6"/>
      <c r="BS8" s="6"/>
      <c r="BT8" s="6"/>
      <c r="BU8" s="6"/>
      <c r="BV8" s="6"/>
      <c r="BW8" s="6"/>
    </row>
    <row r="9" spans="1:75" ht="13.8" x14ac:dyDescent="0.3">
      <c r="A9" s="203" t="s">
        <v>390</v>
      </c>
      <c r="B9" s="203" t="s">
        <v>391</v>
      </c>
      <c r="C9" s="203" t="s">
        <v>27</v>
      </c>
      <c r="D9" s="204" t="s">
        <v>224</v>
      </c>
      <c r="E9" s="208"/>
      <c r="F9" s="24">
        <f t="shared" si="0"/>
        <v>0</v>
      </c>
      <c r="G9" s="249">
        <f t="shared" si="1"/>
        <v>0</v>
      </c>
      <c r="H9" s="101">
        <f t="shared" si="2"/>
        <v>0</v>
      </c>
      <c r="I9" s="79"/>
      <c r="J9" s="226">
        <f>I9*2*normuren!$B$26</f>
        <v>0</v>
      </c>
      <c r="K9" s="227">
        <f>IF(G9&lt;3,normuren!$B$8,IF(AND(G9&lt;6,G9&gt;2),normuren!$B$9,IF(AND(G9&lt;9,G9&gt;5),normuren!$B$10,normuren!$B$11)))</f>
        <v>15</v>
      </c>
      <c r="L9" s="228">
        <f>normuren!$B$28</f>
        <v>10</v>
      </c>
      <c r="M9" s="228">
        <v>20</v>
      </c>
      <c r="N9" s="250">
        <f>normuren!$B$29</f>
        <v>1.5</v>
      </c>
      <c r="O9" s="115"/>
      <c r="P9" s="286"/>
      <c r="Q9" s="313">
        <v>1</v>
      </c>
      <c r="R9" s="266"/>
      <c r="S9" s="267">
        <v>1</v>
      </c>
      <c r="T9" s="119"/>
      <c r="U9" s="115"/>
      <c r="V9" s="115"/>
      <c r="W9" s="286"/>
      <c r="X9" s="115"/>
      <c r="Y9" s="286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220"/>
      <c r="AL9" s="115"/>
      <c r="AM9" s="286"/>
      <c r="AN9" s="115"/>
      <c r="AO9" s="115"/>
      <c r="AP9" s="288">
        <v>1</v>
      </c>
      <c r="AQ9" s="286"/>
      <c r="AR9" s="288">
        <v>1</v>
      </c>
      <c r="AS9" s="115"/>
      <c r="AT9" s="286"/>
      <c r="AU9" s="115"/>
      <c r="AV9" s="115"/>
      <c r="AW9" s="115"/>
      <c r="AX9" s="115"/>
      <c r="AY9" s="115"/>
      <c r="AZ9" s="115"/>
      <c r="BA9" s="115"/>
      <c r="BB9" s="115"/>
      <c r="BC9" s="288">
        <v>1</v>
      </c>
      <c r="BD9" s="115"/>
      <c r="BE9" s="115"/>
      <c r="BF9" s="115"/>
      <c r="BG9" s="115"/>
      <c r="BH9" s="115"/>
      <c r="BI9" s="115"/>
      <c r="BJ9" s="115"/>
      <c r="BK9" s="286"/>
      <c r="BL9" s="223">
        <f t="shared" si="3"/>
        <v>5</v>
      </c>
      <c r="BM9" s="224">
        <f t="shared" si="4"/>
        <v>-5</v>
      </c>
      <c r="BN9" s="209" t="str">
        <f t="shared" si="5"/>
        <v>Oke</v>
      </c>
      <c r="BO9" s="6"/>
      <c r="BP9" s="6"/>
      <c r="BQ9" s="6"/>
      <c r="BR9" s="6"/>
      <c r="BS9" s="6"/>
      <c r="BT9" s="6"/>
      <c r="BU9" s="6"/>
      <c r="BV9" s="6"/>
      <c r="BW9" s="6"/>
    </row>
    <row r="10" spans="1:75" ht="13.8" x14ac:dyDescent="0.3">
      <c r="A10" s="203" t="s">
        <v>623</v>
      </c>
      <c r="B10" s="203" t="s">
        <v>624</v>
      </c>
      <c r="C10" s="203" t="s">
        <v>245</v>
      </c>
      <c r="D10" s="204" t="s">
        <v>625</v>
      </c>
      <c r="E10" s="208"/>
      <c r="F10" s="24">
        <f t="shared" si="0"/>
        <v>0</v>
      </c>
      <c r="G10" s="249">
        <f t="shared" si="1"/>
        <v>0</v>
      </c>
      <c r="H10" s="101">
        <f t="shared" si="2"/>
        <v>0</v>
      </c>
      <c r="I10" s="79"/>
      <c r="J10" s="226">
        <f>I10*2*normuren!$B$26</f>
        <v>0</v>
      </c>
      <c r="K10" s="227">
        <f>IF(G10&lt;3,normuren!$B$8,IF(AND(G10&lt;6,G10&gt;2),normuren!$B$9,IF(AND(G10&lt;9,G10&gt;5),normuren!$B$10,normuren!$B$11)))</f>
        <v>15</v>
      </c>
      <c r="L10" s="228">
        <f>normuren!$B$28</f>
        <v>10</v>
      </c>
      <c r="M10" s="228">
        <v>20</v>
      </c>
      <c r="N10" s="250">
        <f>normuren!$B$29</f>
        <v>1.5</v>
      </c>
      <c r="O10" s="115"/>
      <c r="P10" s="286"/>
      <c r="Q10" s="119"/>
      <c r="R10" s="266"/>
      <c r="S10" s="119"/>
      <c r="T10" s="119"/>
      <c r="U10" s="115"/>
      <c r="V10" s="115"/>
      <c r="W10" s="286"/>
      <c r="X10" s="115"/>
      <c r="Y10" s="286"/>
      <c r="Z10" s="115"/>
      <c r="AA10" s="288">
        <v>1</v>
      </c>
      <c r="AB10" s="115"/>
      <c r="AC10" s="115"/>
      <c r="AD10" s="115"/>
      <c r="AE10" s="115"/>
      <c r="AF10" s="115"/>
      <c r="AG10" s="115"/>
      <c r="AH10" s="115"/>
      <c r="AI10" s="115"/>
      <c r="AJ10" s="115"/>
      <c r="AK10" s="220"/>
      <c r="AL10" s="115"/>
      <c r="AM10" s="286"/>
      <c r="AN10" s="115"/>
      <c r="AO10" s="115"/>
      <c r="AP10" s="115"/>
      <c r="AQ10" s="286"/>
      <c r="AR10" s="115"/>
      <c r="AS10" s="115"/>
      <c r="AT10" s="286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286"/>
      <c r="BL10" s="223">
        <f t="shared" si="3"/>
        <v>1</v>
      </c>
      <c r="BM10" s="224">
        <f t="shared" si="4"/>
        <v>-1</v>
      </c>
      <c r="BN10" s="209" t="str">
        <f t="shared" si="5"/>
        <v>Oke</v>
      </c>
      <c r="BO10" s="6"/>
      <c r="BP10" s="6"/>
      <c r="BQ10" s="6"/>
      <c r="BR10" s="6"/>
      <c r="BS10" s="6"/>
      <c r="BT10" s="6"/>
      <c r="BU10" s="6"/>
      <c r="BV10" s="6"/>
      <c r="BW10" s="6"/>
    </row>
    <row r="11" spans="1:75" ht="13.8" x14ac:dyDescent="0.3">
      <c r="A11" s="203" t="s">
        <v>402</v>
      </c>
      <c r="B11" s="203" t="s">
        <v>392</v>
      </c>
      <c r="C11" s="203" t="s">
        <v>27</v>
      </c>
      <c r="D11" s="203" t="s">
        <v>343</v>
      </c>
      <c r="E11" s="208"/>
      <c r="F11" s="24">
        <f t="shared" si="0"/>
        <v>0</v>
      </c>
      <c r="G11" s="249">
        <f t="shared" si="1"/>
        <v>0</v>
      </c>
      <c r="H11" s="101">
        <f t="shared" si="2"/>
        <v>0</v>
      </c>
      <c r="I11" s="79"/>
      <c r="J11" s="226">
        <f>I11*2*normuren!$B$26</f>
        <v>0</v>
      </c>
      <c r="K11" s="227">
        <f>IF(G11&lt;3,normuren!$B$8,IF(AND(G11&lt;6,G11&gt;2),normuren!$B$9,IF(AND(G11&lt;9,G11&gt;5),normuren!$B$10,normuren!$B$11)))</f>
        <v>15</v>
      </c>
      <c r="L11" s="228">
        <f>normuren!$B$28</f>
        <v>10</v>
      </c>
      <c r="M11" s="228">
        <v>20</v>
      </c>
      <c r="N11" s="250">
        <f>normuren!$B$29</f>
        <v>1.5</v>
      </c>
      <c r="O11" s="115"/>
      <c r="P11" s="286"/>
      <c r="Q11" s="119"/>
      <c r="R11" s="266"/>
      <c r="S11" s="119"/>
      <c r="T11" s="267">
        <v>1</v>
      </c>
      <c r="U11" s="115"/>
      <c r="V11" s="115"/>
      <c r="W11" s="286"/>
      <c r="X11" s="115"/>
      <c r="Y11" s="286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220"/>
      <c r="AL11" s="115"/>
      <c r="AM11" s="286"/>
      <c r="AN11" s="115"/>
      <c r="AO11" s="115"/>
      <c r="AP11" s="115"/>
      <c r="AQ11" s="286"/>
      <c r="AR11" s="115"/>
      <c r="AS11" s="115"/>
      <c r="AT11" s="286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286"/>
      <c r="BL11" s="223">
        <f t="shared" si="3"/>
        <v>1</v>
      </c>
      <c r="BM11" s="224">
        <f t="shared" si="4"/>
        <v>-1</v>
      </c>
      <c r="BN11" s="209" t="str">
        <f t="shared" si="5"/>
        <v>Oke</v>
      </c>
      <c r="BO11" s="6"/>
      <c r="BP11" s="6"/>
      <c r="BQ11" s="6"/>
      <c r="BR11" s="6"/>
      <c r="BS11" s="6"/>
      <c r="BT11" s="6"/>
      <c r="BU11" s="6"/>
      <c r="BV11" s="6"/>
      <c r="BW11" s="6"/>
    </row>
    <row r="12" spans="1:75" ht="13.8" x14ac:dyDescent="0.3">
      <c r="A12" s="203" t="s">
        <v>403</v>
      </c>
      <c r="B12" s="203" t="s">
        <v>393</v>
      </c>
      <c r="C12" s="203" t="s">
        <v>27</v>
      </c>
      <c r="D12" s="203" t="s">
        <v>343</v>
      </c>
      <c r="E12" s="208"/>
      <c r="F12" s="24">
        <f t="shared" si="0"/>
        <v>0</v>
      </c>
      <c r="G12" s="249">
        <f t="shared" si="1"/>
        <v>0</v>
      </c>
      <c r="H12" s="101">
        <f t="shared" si="2"/>
        <v>0</v>
      </c>
      <c r="I12" s="79"/>
      <c r="J12" s="226">
        <f>I12*2*normuren!$B$26</f>
        <v>0</v>
      </c>
      <c r="K12" s="227">
        <f>IF(G12&lt;3,normuren!$B$8,IF(AND(G12&lt;6,G12&gt;2),normuren!$B$9,IF(AND(G12&lt;9,G12&gt;5),normuren!$B$10,normuren!$B$11)))</f>
        <v>15</v>
      </c>
      <c r="L12" s="228">
        <f>normuren!$B$28</f>
        <v>10</v>
      </c>
      <c r="M12" s="228">
        <v>20</v>
      </c>
      <c r="N12" s="250">
        <f>normuren!$B$29</f>
        <v>1.5</v>
      </c>
      <c r="O12" s="115" t="s">
        <v>696</v>
      </c>
      <c r="P12" s="284" t="s">
        <v>696</v>
      </c>
      <c r="Q12" s="119"/>
      <c r="R12" s="266"/>
      <c r="S12" s="266" t="s">
        <v>695</v>
      </c>
      <c r="T12" s="267">
        <v>1</v>
      </c>
      <c r="U12" s="288">
        <v>1</v>
      </c>
      <c r="V12" s="115"/>
      <c r="W12" s="286"/>
      <c r="X12" s="115"/>
      <c r="Y12" s="286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220"/>
      <c r="AL12" s="288">
        <v>1</v>
      </c>
      <c r="AM12" s="286"/>
      <c r="AN12" s="115"/>
      <c r="AO12" s="115"/>
      <c r="AP12" s="115"/>
      <c r="AQ12" s="286"/>
      <c r="AR12" s="115"/>
      <c r="AS12" s="115"/>
      <c r="AT12" s="286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288" t="s">
        <v>696</v>
      </c>
      <c r="BJ12" s="115"/>
      <c r="BK12" s="286"/>
      <c r="BL12" s="223">
        <f t="shared" si="3"/>
        <v>3</v>
      </c>
      <c r="BM12" s="224">
        <f t="shared" si="4"/>
        <v>-3</v>
      </c>
      <c r="BN12" s="209" t="str">
        <f t="shared" si="5"/>
        <v>Oke</v>
      </c>
      <c r="BO12" s="6"/>
      <c r="BP12" s="6"/>
      <c r="BQ12" s="6"/>
      <c r="BR12" s="6"/>
      <c r="BS12" s="6"/>
      <c r="BT12" s="6"/>
      <c r="BU12" s="6"/>
      <c r="BV12" s="6"/>
      <c r="BW12" s="6"/>
    </row>
    <row r="13" spans="1:75" ht="13.8" x14ac:dyDescent="0.3">
      <c r="A13" s="203" t="s">
        <v>404</v>
      </c>
      <c r="B13" s="203" t="s">
        <v>394</v>
      </c>
      <c r="C13" s="203" t="s">
        <v>27</v>
      </c>
      <c r="D13" s="203" t="s">
        <v>214</v>
      </c>
      <c r="E13" s="208"/>
      <c r="F13" s="24">
        <f t="shared" si="0"/>
        <v>0</v>
      </c>
      <c r="G13" s="249">
        <f t="shared" si="1"/>
        <v>0</v>
      </c>
      <c r="H13" s="101">
        <f t="shared" si="2"/>
        <v>0</v>
      </c>
      <c r="I13" s="79"/>
      <c r="J13" s="226">
        <f>I13*2*normuren!$B$26</f>
        <v>0</v>
      </c>
      <c r="K13" s="227">
        <f>IF(G13&lt;3,normuren!$B$8,IF(AND(G13&lt;6,G13&gt;2),normuren!$B$9,IF(AND(G13&lt;9,G13&gt;5),normuren!$B$10,normuren!$B$11)))</f>
        <v>15</v>
      </c>
      <c r="L13" s="228">
        <f>normuren!$B$28</f>
        <v>10</v>
      </c>
      <c r="M13" s="228">
        <v>20</v>
      </c>
      <c r="N13" s="250">
        <f>normuren!$B$29</f>
        <v>1.5</v>
      </c>
      <c r="O13" s="115"/>
      <c r="P13" s="286"/>
      <c r="Q13" s="119"/>
      <c r="R13" s="266"/>
      <c r="S13" s="119"/>
      <c r="T13" s="119"/>
      <c r="U13" s="115"/>
      <c r="V13" s="115"/>
      <c r="W13" s="286"/>
      <c r="X13" s="115"/>
      <c r="Y13" s="286"/>
      <c r="Z13" s="115"/>
      <c r="AA13" s="115"/>
      <c r="AB13" s="115"/>
      <c r="AC13" s="115"/>
      <c r="AD13" s="115"/>
      <c r="AE13" s="115"/>
      <c r="AF13" s="115"/>
      <c r="AG13" s="115"/>
      <c r="AH13" s="288">
        <v>2</v>
      </c>
      <c r="AI13" s="115"/>
      <c r="AJ13" s="115"/>
      <c r="AK13" s="220"/>
      <c r="AL13" s="115"/>
      <c r="AM13" s="286"/>
      <c r="AN13" s="115"/>
      <c r="AO13" s="115"/>
      <c r="AP13" s="115"/>
      <c r="AQ13" s="286"/>
      <c r="AR13" s="115"/>
      <c r="AS13" s="115"/>
      <c r="AT13" s="286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288">
        <v>1</v>
      </c>
      <c r="BK13" s="286"/>
      <c r="BL13" s="223">
        <f t="shared" si="3"/>
        <v>3</v>
      </c>
      <c r="BM13" s="224">
        <f t="shared" si="4"/>
        <v>-3</v>
      </c>
      <c r="BN13" s="209" t="str">
        <f t="shared" si="5"/>
        <v>Oke</v>
      </c>
      <c r="BO13" s="6"/>
      <c r="BP13" s="6"/>
      <c r="BQ13" s="6"/>
      <c r="BR13" s="6"/>
      <c r="BS13" s="6"/>
      <c r="BT13" s="6"/>
      <c r="BU13" s="6"/>
      <c r="BV13" s="6"/>
      <c r="BW13" s="6"/>
    </row>
    <row r="14" spans="1:75" ht="13.8" x14ac:dyDescent="0.3">
      <c r="A14" s="204" t="s">
        <v>395</v>
      </c>
      <c r="B14" s="204" t="s">
        <v>396</v>
      </c>
      <c r="C14" s="203" t="s">
        <v>246</v>
      </c>
      <c r="D14" s="253" t="s">
        <v>626</v>
      </c>
      <c r="E14" s="208"/>
      <c r="F14" s="24">
        <f t="shared" si="0"/>
        <v>0</v>
      </c>
      <c r="G14" s="249">
        <f t="shared" si="1"/>
        <v>0</v>
      </c>
      <c r="H14" s="101">
        <f t="shared" si="2"/>
        <v>0</v>
      </c>
      <c r="I14" s="79"/>
      <c r="J14" s="226">
        <f>I14*2*normuren!$B$26</f>
        <v>0</v>
      </c>
      <c r="K14" s="227">
        <f>IF(G14&lt;3,normuren!$B$8,IF(AND(G14&lt;6,G14&gt;2),normuren!$B$9,IF(AND(G14&lt;9,G14&gt;5),normuren!$B$10,normuren!$B$11)))</f>
        <v>15</v>
      </c>
      <c r="L14" s="228">
        <f>normuren!$B$28</f>
        <v>10</v>
      </c>
      <c r="M14" s="228">
        <v>20</v>
      </c>
      <c r="N14" s="250">
        <f>normuren!$B$29</f>
        <v>1.5</v>
      </c>
      <c r="O14" s="115"/>
      <c r="P14" s="286"/>
      <c r="Q14" s="119"/>
      <c r="R14" s="266"/>
      <c r="S14" s="119"/>
      <c r="T14" s="119"/>
      <c r="U14" s="115"/>
      <c r="V14" s="115"/>
      <c r="W14" s="286"/>
      <c r="X14" s="115"/>
      <c r="Y14" s="286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220"/>
      <c r="AL14" s="115"/>
      <c r="AM14" s="286"/>
      <c r="AN14" s="115"/>
      <c r="AO14" s="115"/>
      <c r="AP14" s="115"/>
      <c r="AQ14" s="286"/>
      <c r="AR14" s="115"/>
      <c r="AS14" s="115"/>
      <c r="AT14" s="286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286"/>
      <c r="BL14" s="223">
        <f t="shared" si="3"/>
        <v>0</v>
      </c>
      <c r="BM14" s="224">
        <f t="shared" si="4"/>
        <v>0</v>
      </c>
      <c r="BN14" s="209" t="str">
        <f t="shared" si="5"/>
        <v>Oke</v>
      </c>
      <c r="BO14" s="6"/>
      <c r="BP14" s="6"/>
      <c r="BQ14" s="6"/>
      <c r="BR14" s="6"/>
      <c r="BS14" s="6"/>
      <c r="BT14" s="6"/>
      <c r="BU14" s="6"/>
      <c r="BV14" s="6"/>
      <c r="BW14" s="6"/>
    </row>
    <row r="15" spans="1:75" ht="13.8" x14ac:dyDescent="0.3">
      <c r="A15" s="204" t="s">
        <v>397</v>
      </c>
      <c r="B15" s="204" t="s">
        <v>627</v>
      </c>
      <c r="C15" s="203" t="s">
        <v>27</v>
      </c>
      <c r="D15" s="204" t="s">
        <v>244</v>
      </c>
      <c r="E15" s="208"/>
      <c r="F15" s="24">
        <f t="shared" si="0"/>
        <v>0</v>
      </c>
      <c r="G15" s="249">
        <f t="shared" si="1"/>
        <v>0</v>
      </c>
      <c r="H15" s="101">
        <f t="shared" si="2"/>
        <v>0</v>
      </c>
      <c r="I15" s="79"/>
      <c r="J15" s="226">
        <f>I15*2*normuren!$B$26</f>
        <v>0</v>
      </c>
      <c r="K15" s="227">
        <f>IF(G15&lt;3,normuren!$B$8,IF(AND(G15&lt;6,G15&gt;2),normuren!$B$9,IF(AND(G15&lt;9,G15&gt;5),normuren!$B$10,normuren!$B$11)))</f>
        <v>15</v>
      </c>
      <c r="L15" s="228">
        <f>normuren!$B$28</f>
        <v>10</v>
      </c>
      <c r="M15" s="228">
        <v>20</v>
      </c>
      <c r="N15" s="250">
        <f>normuren!$B$29</f>
        <v>1.5</v>
      </c>
      <c r="O15" s="115"/>
      <c r="P15" s="286"/>
      <c r="Q15" s="119"/>
      <c r="R15" s="266"/>
      <c r="S15" s="119"/>
      <c r="T15" s="119"/>
      <c r="U15" s="115"/>
      <c r="V15" s="115"/>
      <c r="W15" s="286"/>
      <c r="X15" s="115"/>
      <c r="Y15" s="286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220"/>
      <c r="AL15" s="288">
        <v>1</v>
      </c>
      <c r="AM15" s="286"/>
      <c r="AN15" s="115"/>
      <c r="AO15" s="115"/>
      <c r="AP15" s="115"/>
      <c r="AQ15" s="286"/>
      <c r="AR15" s="115"/>
      <c r="AS15" s="115"/>
      <c r="AT15" s="286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286"/>
      <c r="BL15" s="223">
        <f t="shared" si="3"/>
        <v>1</v>
      </c>
      <c r="BM15" s="224">
        <f t="shared" si="4"/>
        <v>-1</v>
      </c>
      <c r="BN15" s="209" t="str">
        <f t="shared" si="5"/>
        <v>Oke</v>
      </c>
      <c r="BO15" s="6"/>
      <c r="BP15" s="6"/>
      <c r="BQ15" s="6"/>
      <c r="BR15" s="6"/>
      <c r="BS15" s="6"/>
      <c r="BT15" s="6"/>
      <c r="BU15" s="6"/>
      <c r="BV15" s="6"/>
      <c r="BW15" s="6"/>
    </row>
    <row r="16" spans="1:75" ht="13.8" x14ac:dyDescent="0.3">
      <c r="A16" s="204" t="s">
        <v>628</v>
      </c>
      <c r="B16" s="204" t="s">
        <v>629</v>
      </c>
      <c r="C16" s="203" t="s">
        <v>27</v>
      </c>
      <c r="D16" s="204" t="s">
        <v>161</v>
      </c>
      <c r="E16" s="208"/>
      <c r="F16" s="24">
        <f t="shared" si="0"/>
        <v>0</v>
      </c>
      <c r="G16" s="249">
        <f t="shared" si="1"/>
        <v>0</v>
      </c>
      <c r="H16" s="101">
        <f t="shared" si="2"/>
        <v>0</v>
      </c>
      <c r="I16" s="79"/>
      <c r="J16" s="226">
        <f>I16*2*normuren!$B$26</f>
        <v>0</v>
      </c>
      <c r="K16" s="227">
        <f>IF(G16&lt;3,normuren!$B$8,IF(AND(G16&lt;6,G16&gt;2),normuren!$B$9,IF(AND(G16&lt;9,G16&gt;5),normuren!$B$10,normuren!$B$11)))</f>
        <v>15</v>
      </c>
      <c r="L16" s="228">
        <f>normuren!$B$28</f>
        <v>10</v>
      </c>
      <c r="M16" s="228">
        <v>20</v>
      </c>
      <c r="N16" s="250">
        <f>normuren!$B$29</f>
        <v>1.5</v>
      </c>
      <c r="O16" s="115"/>
      <c r="P16" s="286"/>
      <c r="Q16" s="119"/>
      <c r="R16" s="266"/>
      <c r="S16" s="119"/>
      <c r="T16" s="119"/>
      <c r="U16" s="115"/>
      <c r="V16" s="115"/>
      <c r="W16" s="286"/>
      <c r="X16" s="115"/>
      <c r="Y16" s="286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220"/>
      <c r="AL16" s="115"/>
      <c r="AM16" s="286"/>
      <c r="AN16" s="115"/>
      <c r="AO16" s="115"/>
      <c r="AP16" s="115"/>
      <c r="AQ16" s="286"/>
      <c r="AR16" s="115"/>
      <c r="AS16" s="115"/>
      <c r="AT16" s="286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286"/>
      <c r="BL16" s="223">
        <f t="shared" si="3"/>
        <v>0</v>
      </c>
      <c r="BM16" s="224">
        <f t="shared" si="4"/>
        <v>0</v>
      </c>
      <c r="BN16" s="209" t="str">
        <f t="shared" si="5"/>
        <v>Oke</v>
      </c>
      <c r="BO16" s="6"/>
      <c r="BP16" s="6"/>
      <c r="BQ16" s="6"/>
      <c r="BR16" s="6"/>
      <c r="BS16" s="6"/>
      <c r="BT16" s="6"/>
      <c r="BU16" s="6"/>
      <c r="BV16" s="6"/>
      <c r="BW16" s="6"/>
    </row>
    <row r="17" spans="1:75" ht="12" customHeight="1" x14ac:dyDescent="0.3">
      <c r="A17" s="203" t="s">
        <v>630</v>
      </c>
      <c r="B17" s="203" t="s">
        <v>631</v>
      </c>
      <c r="C17" s="203" t="s">
        <v>27</v>
      </c>
      <c r="D17" s="204" t="s">
        <v>606</v>
      </c>
      <c r="E17" s="208"/>
      <c r="F17" s="24">
        <f t="shared" si="0"/>
        <v>0</v>
      </c>
      <c r="G17" s="249">
        <f t="shared" si="1"/>
        <v>0</v>
      </c>
      <c r="H17" s="101">
        <f t="shared" si="2"/>
        <v>0</v>
      </c>
      <c r="I17" s="79"/>
      <c r="J17" s="226">
        <f>I17*2*normuren!$B$26</f>
        <v>0</v>
      </c>
      <c r="K17" s="227">
        <f>IF(G17&lt;3,normuren!$B$8,IF(AND(G17&lt;6,G17&gt;2),normuren!$B$9,IF(AND(G17&lt;9,G17&gt;5),normuren!$B$10,normuren!$B$11)))</f>
        <v>15</v>
      </c>
      <c r="L17" s="228">
        <f>normuren!$B$28</f>
        <v>10</v>
      </c>
      <c r="M17" s="228">
        <v>20</v>
      </c>
      <c r="N17" s="250">
        <f>normuren!$B$29</f>
        <v>1.5</v>
      </c>
      <c r="O17" s="288" t="s">
        <v>696</v>
      </c>
      <c r="P17" s="286"/>
      <c r="Q17" s="119"/>
      <c r="R17" s="266"/>
      <c r="S17" s="119"/>
      <c r="T17" s="119"/>
      <c r="U17" s="115"/>
      <c r="V17" s="115"/>
      <c r="W17" s="286"/>
      <c r="X17" s="115"/>
      <c r="Y17" s="286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220"/>
      <c r="AL17" s="115"/>
      <c r="AM17" s="286"/>
      <c r="AN17" s="115"/>
      <c r="AO17" s="115"/>
      <c r="AP17" s="115"/>
      <c r="AQ17" s="286"/>
      <c r="AR17" s="288">
        <v>2</v>
      </c>
      <c r="AS17" s="115"/>
      <c r="AT17" s="286"/>
      <c r="AU17" s="115"/>
      <c r="AV17" s="115"/>
      <c r="AW17" s="115"/>
      <c r="AX17" s="115"/>
      <c r="AY17" s="115"/>
      <c r="AZ17" s="115"/>
      <c r="BA17" s="115"/>
      <c r="BB17" s="288" t="s">
        <v>696</v>
      </c>
      <c r="BC17" s="115"/>
      <c r="BD17" s="115"/>
      <c r="BE17" s="115"/>
      <c r="BF17" s="115"/>
      <c r="BG17" s="115"/>
      <c r="BH17" s="115"/>
      <c r="BI17" s="115"/>
      <c r="BJ17" s="115"/>
      <c r="BK17" s="286"/>
      <c r="BL17" s="223">
        <f t="shared" si="3"/>
        <v>2</v>
      </c>
      <c r="BM17" s="224">
        <f t="shared" si="4"/>
        <v>-2</v>
      </c>
      <c r="BN17" s="209" t="str">
        <f t="shared" si="5"/>
        <v>Oke</v>
      </c>
      <c r="BO17" s="6"/>
      <c r="BP17" s="6"/>
      <c r="BQ17" s="6"/>
      <c r="BR17" s="6"/>
      <c r="BS17" s="6"/>
      <c r="BT17" s="6"/>
      <c r="BU17" s="6"/>
      <c r="BV17" s="6"/>
      <c r="BW17" s="6"/>
    </row>
    <row r="18" spans="1:75" ht="13.8" x14ac:dyDescent="0.3">
      <c r="A18" s="203" t="s">
        <v>271</v>
      </c>
      <c r="B18" s="203" t="s">
        <v>241</v>
      </c>
      <c r="C18" s="203" t="s">
        <v>27</v>
      </c>
      <c r="D18" s="203" t="s">
        <v>242</v>
      </c>
      <c r="E18" s="208"/>
      <c r="F18" s="24">
        <f t="shared" ref="F18" si="6">E18/12</f>
        <v>0</v>
      </c>
      <c r="G18" s="249">
        <f t="shared" ref="G18" si="7">ROUNDUP(F18,0)</f>
        <v>0</v>
      </c>
      <c r="H18" s="101">
        <f t="shared" ref="H18" si="8">IF(G18=0,0,E18/G18)</f>
        <v>0</v>
      </c>
      <c r="I18" s="79"/>
      <c r="J18" s="226"/>
      <c r="K18" s="227"/>
      <c r="L18" s="228"/>
      <c r="M18" s="228"/>
      <c r="N18" s="250"/>
      <c r="O18" s="115"/>
      <c r="P18" s="286"/>
      <c r="Q18" s="119"/>
      <c r="R18" s="266"/>
      <c r="S18" s="119"/>
      <c r="T18" s="119"/>
      <c r="U18" s="115"/>
      <c r="V18" s="115"/>
      <c r="W18" s="286"/>
      <c r="X18" s="115"/>
      <c r="Y18" s="286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220"/>
      <c r="AL18" s="115"/>
      <c r="AM18" s="288" t="s">
        <v>696</v>
      </c>
      <c r="AN18" s="115"/>
      <c r="AO18" s="115"/>
      <c r="AP18" s="115"/>
      <c r="AQ18" s="286"/>
      <c r="AR18" s="115"/>
      <c r="AS18" s="115"/>
      <c r="AT18" s="286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286"/>
      <c r="BL18" s="223">
        <f t="shared" si="3"/>
        <v>0</v>
      </c>
      <c r="BM18" s="224">
        <f t="shared" si="4"/>
        <v>0</v>
      </c>
      <c r="BN18" s="209" t="str">
        <f t="shared" ref="BN18" si="9">IF(BM18&gt;0,"Problem","Oke")</f>
        <v>Oke</v>
      </c>
      <c r="BO18" s="6"/>
      <c r="BP18" s="6"/>
      <c r="BQ18" s="6"/>
      <c r="BR18" s="6"/>
      <c r="BS18" s="6"/>
      <c r="BT18" s="6"/>
      <c r="BU18" s="6"/>
      <c r="BV18" s="6"/>
      <c r="BW18" s="6"/>
    </row>
    <row r="19" spans="1:75" ht="13.8" x14ac:dyDescent="0.3">
      <c r="A19" s="203" t="s">
        <v>272</v>
      </c>
      <c r="B19" s="203" t="s">
        <v>243</v>
      </c>
      <c r="C19" s="203" t="s">
        <v>27</v>
      </c>
      <c r="D19" s="203" t="s">
        <v>244</v>
      </c>
      <c r="E19" s="208"/>
      <c r="F19" s="24">
        <f t="shared" ref="F19" si="10">E19/12</f>
        <v>0</v>
      </c>
      <c r="G19" s="249">
        <f t="shared" ref="G19" si="11">ROUNDUP(F19,0)</f>
        <v>0</v>
      </c>
      <c r="H19" s="101">
        <f t="shared" ref="H19" si="12">IF(G19=0,0,E19/G19)</f>
        <v>0</v>
      </c>
      <c r="I19" s="79"/>
      <c r="J19" s="226"/>
      <c r="K19" s="227"/>
      <c r="L19" s="228"/>
      <c r="M19" s="228"/>
      <c r="N19" s="250"/>
      <c r="O19" s="115"/>
      <c r="P19" s="286"/>
      <c r="Q19" s="119"/>
      <c r="R19" s="266"/>
      <c r="S19" s="119"/>
      <c r="T19" s="119"/>
      <c r="U19" s="115"/>
      <c r="V19" s="115"/>
      <c r="W19" s="286"/>
      <c r="X19" s="115"/>
      <c r="Y19" s="286"/>
      <c r="Z19" s="115"/>
      <c r="AA19" s="115"/>
      <c r="AB19" s="115"/>
      <c r="AC19" s="115"/>
      <c r="AD19" s="115"/>
      <c r="AE19" s="115"/>
      <c r="AF19" s="115"/>
      <c r="AG19" s="288" t="s">
        <v>696</v>
      </c>
      <c r="AH19" s="115"/>
      <c r="AI19" s="115"/>
      <c r="AJ19" s="115"/>
      <c r="AK19" s="293" t="s">
        <v>696</v>
      </c>
      <c r="AL19" s="115"/>
      <c r="AM19" s="286"/>
      <c r="AN19" s="115"/>
      <c r="AO19" s="115"/>
      <c r="AP19" s="115"/>
      <c r="AQ19" s="286"/>
      <c r="AR19" s="115"/>
      <c r="AS19" s="115"/>
      <c r="AT19" s="286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286"/>
      <c r="BL19" s="223">
        <f t="shared" si="3"/>
        <v>0</v>
      </c>
      <c r="BM19" s="224">
        <f t="shared" si="4"/>
        <v>0</v>
      </c>
      <c r="BN19" s="209" t="str">
        <f t="shared" ref="BN19" si="13">IF(BM19&gt;0,"Problem","Oke")</f>
        <v>Oke</v>
      </c>
      <c r="BO19" s="6"/>
      <c r="BP19" s="6"/>
      <c r="BQ19" s="6"/>
      <c r="BR19" s="6"/>
      <c r="BS19" s="6"/>
      <c r="BT19" s="6"/>
      <c r="BU19" s="6"/>
      <c r="BV19" s="6"/>
      <c r="BW19" s="6"/>
    </row>
    <row r="20" spans="1:75" s="158" customFormat="1" ht="13.8" x14ac:dyDescent="0.3">
      <c r="O20" s="179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9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79"/>
      <c r="BG20" s="179"/>
      <c r="BH20" s="179"/>
      <c r="BI20" s="179"/>
      <c r="BJ20" s="179"/>
      <c r="BK20" s="179"/>
      <c r="BL20" s="179"/>
      <c r="BM20" s="183"/>
      <c r="BN20" s="209"/>
    </row>
    <row r="21" spans="1:75" s="158" customFormat="1" ht="13.8" hidden="1" x14ac:dyDescent="0.3">
      <c r="A21" s="171" t="s">
        <v>10</v>
      </c>
      <c r="B21" s="149"/>
      <c r="C21" s="134"/>
      <c r="D21" s="134"/>
      <c r="E21" s="135"/>
      <c r="F21" s="150"/>
      <c r="G21" s="254">
        <f>SUM(G4:G20)</f>
        <v>0</v>
      </c>
      <c r="H21" s="134"/>
      <c r="I21" s="234"/>
      <c r="J21" s="234"/>
      <c r="K21" s="234"/>
      <c r="L21" s="235"/>
      <c r="M21" s="235"/>
      <c r="N21" s="236"/>
      <c r="O21" s="143">
        <f t="shared" ref="O21:AR21" si="14">SUM(O3:O18)</f>
        <v>0</v>
      </c>
      <c r="P21" s="143">
        <f t="shared" si="14"/>
        <v>0</v>
      </c>
      <c r="Q21" s="143">
        <f t="shared" si="14"/>
        <v>1</v>
      </c>
      <c r="R21" s="143">
        <f t="shared" si="14"/>
        <v>0</v>
      </c>
      <c r="S21" s="143">
        <f t="shared" si="14"/>
        <v>1</v>
      </c>
      <c r="T21" s="143">
        <f t="shared" si="14"/>
        <v>2</v>
      </c>
      <c r="U21" s="143">
        <f t="shared" si="14"/>
        <v>2</v>
      </c>
      <c r="V21" s="143">
        <f t="shared" si="14"/>
        <v>1</v>
      </c>
      <c r="W21" s="143">
        <f t="shared" si="14"/>
        <v>0</v>
      </c>
      <c r="X21" s="143">
        <f t="shared" si="14"/>
        <v>0</v>
      </c>
      <c r="Y21" s="143">
        <f t="shared" si="14"/>
        <v>0</v>
      </c>
      <c r="Z21" s="143">
        <f t="shared" si="14"/>
        <v>0</v>
      </c>
      <c r="AA21" s="143">
        <f t="shared" si="14"/>
        <v>1</v>
      </c>
      <c r="AB21" s="143">
        <f t="shared" si="14"/>
        <v>0</v>
      </c>
      <c r="AC21" s="143">
        <f t="shared" si="14"/>
        <v>0</v>
      </c>
      <c r="AD21" s="143">
        <f t="shared" si="14"/>
        <v>1</v>
      </c>
      <c r="AE21" s="143">
        <f t="shared" si="14"/>
        <v>1</v>
      </c>
      <c r="AF21" s="143">
        <f t="shared" si="14"/>
        <v>0</v>
      </c>
      <c r="AG21" s="143">
        <f t="shared" si="14"/>
        <v>1</v>
      </c>
      <c r="AH21" s="143">
        <f t="shared" si="14"/>
        <v>2</v>
      </c>
      <c r="AI21" s="143">
        <f t="shared" si="14"/>
        <v>0</v>
      </c>
      <c r="AJ21" s="143">
        <f t="shared" si="14"/>
        <v>0</v>
      </c>
      <c r="AK21" s="143">
        <f t="shared" si="14"/>
        <v>0</v>
      </c>
      <c r="AL21" s="143">
        <f t="shared" si="14"/>
        <v>2</v>
      </c>
      <c r="AM21" s="143">
        <f t="shared" si="14"/>
        <v>0</v>
      </c>
      <c r="AN21" s="143">
        <f t="shared" si="14"/>
        <v>0</v>
      </c>
      <c r="AO21" s="143">
        <f t="shared" si="14"/>
        <v>1</v>
      </c>
      <c r="AP21" s="143">
        <f t="shared" si="14"/>
        <v>1</v>
      </c>
      <c r="AQ21" s="143">
        <f t="shared" si="14"/>
        <v>0</v>
      </c>
      <c r="AR21" s="143">
        <f t="shared" si="14"/>
        <v>4</v>
      </c>
      <c r="AS21" s="143">
        <f t="shared" ref="AS21:AT21" si="15">SUM(AS3:AS18)</f>
        <v>0</v>
      </c>
      <c r="AT21" s="143">
        <f t="shared" si="15"/>
        <v>0</v>
      </c>
      <c r="AU21" s="143">
        <f>SUM(AU3:AU18)</f>
        <v>3</v>
      </c>
      <c r="AV21" s="143"/>
      <c r="AW21" s="143"/>
      <c r="AX21" s="143">
        <f>SUM(AX3:AX18)</f>
        <v>0</v>
      </c>
      <c r="AY21" s="143"/>
      <c r="AZ21" s="143"/>
      <c r="BA21" s="143">
        <f>SUM(BA3:BA18)</f>
        <v>0</v>
      </c>
      <c r="BB21" s="143">
        <f t="shared" ref="BB21" si="16">SUM(BB3:BB18)</f>
        <v>2</v>
      </c>
      <c r="BC21" s="143"/>
      <c r="BD21" s="143"/>
      <c r="BE21" s="143"/>
      <c r="BF21" s="143"/>
      <c r="BG21" s="143">
        <f t="shared" ref="BG21:BM21" si="17">SUM(BG3:BG18)</f>
        <v>2</v>
      </c>
      <c r="BH21" s="143">
        <f t="shared" si="17"/>
        <v>0</v>
      </c>
      <c r="BI21" s="143"/>
      <c r="BJ21" s="143"/>
      <c r="BK21" s="143">
        <f t="shared" si="17"/>
        <v>0</v>
      </c>
      <c r="BL21" s="141">
        <f t="shared" si="17"/>
        <v>37</v>
      </c>
      <c r="BM21" s="141">
        <f t="shared" si="17"/>
        <v>-37</v>
      </c>
      <c r="BN21" s="209"/>
    </row>
    <row r="22" spans="1:75" ht="13.8" hidden="1" x14ac:dyDescent="0.3">
      <c r="A22" s="172" t="s">
        <v>39</v>
      </c>
      <c r="B22" s="146"/>
      <c r="C22" s="30"/>
      <c r="D22" s="30"/>
      <c r="E22" s="31"/>
      <c r="F22" s="30"/>
      <c r="G22" s="237"/>
      <c r="H22" s="30"/>
      <c r="I22" s="237"/>
      <c r="J22" s="237"/>
      <c r="K22" s="237"/>
      <c r="L22" s="238"/>
      <c r="M22" s="238"/>
      <c r="N22" s="239"/>
      <c r="O22" s="143">
        <f t="shared" ref="O22:AT22" si="18">SUM(O4:O20)</f>
        <v>0</v>
      </c>
      <c r="P22" s="143">
        <f t="shared" si="18"/>
        <v>0</v>
      </c>
      <c r="Q22" s="143">
        <f t="shared" si="18"/>
        <v>1</v>
      </c>
      <c r="R22" s="143">
        <f t="shared" si="18"/>
        <v>0</v>
      </c>
      <c r="S22" s="143">
        <f t="shared" si="18"/>
        <v>1</v>
      </c>
      <c r="T22" s="143">
        <f t="shared" si="18"/>
        <v>2</v>
      </c>
      <c r="U22" s="143">
        <f t="shared" si="18"/>
        <v>2</v>
      </c>
      <c r="V22" s="143">
        <f t="shared" si="18"/>
        <v>1</v>
      </c>
      <c r="W22" s="143">
        <f t="shared" si="18"/>
        <v>0</v>
      </c>
      <c r="X22" s="143">
        <f t="shared" si="18"/>
        <v>0</v>
      </c>
      <c r="Y22" s="143">
        <f t="shared" si="18"/>
        <v>0</v>
      </c>
      <c r="Z22" s="143">
        <f t="shared" si="18"/>
        <v>0</v>
      </c>
      <c r="AA22" s="143">
        <f t="shared" si="18"/>
        <v>1</v>
      </c>
      <c r="AB22" s="143">
        <f t="shared" si="18"/>
        <v>0</v>
      </c>
      <c r="AC22" s="143">
        <f t="shared" si="18"/>
        <v>0</v>
      </c>
      <c r="AD22" s="143">
        <f t="shared" si="18"/>
        <v>1</v>
      </c>
      <c r="AE22" s="143">
        <f t="shared" si="18"/>
        <v>1</v>
      </c>
      <c r="AF22" s="143">
        <f t="shared" si="18"/>
        <v>0</v>
      </c>
      <c r="AG22" s="143">
        <f t="shared" si="18"/>
        <v>1</v>
      </c>
      <c r="AH22" s="143">
        <f t="shared" si="18"/>
        <v>2</v>
      </c>
      <c r="AI22" s="143">
        <f t="shared" si="18"/>
        <v>0</v>
      </c>
      <c r="AJ22" s="143">
        <f t="shared" si="18"/>
        <v>0</v>
      </c>
      <c r="AK22" s="143">
        <f t="shared" si="18"/>
        <v>0</v>
      </c>
      <c r="AL22" s="143">
        <f t="shared" si="18"/>
        <v>2</v>
      </c>
      <c r="AM22" s="143">
        <f t="shared" si="18"/>
        <v>0</v>
      </c>
      <c r="AN22" s="143">
        <f t="shared" si="18"/>
        <v>0</v>
      </c>
      <c r="AO22" s="143">
        <f t="shared" si="18"/>
        <v>1</v>
      </c>
      <c r="AP22" s="143">
        <f t="shared" si="18"/>
        <v>1</v>
      </c>
      <c r="AQ22" s="143">
        <f t="shared" si="18"/>
        <v>0</v>
      </c>
      <c r="AR22" s="143">
        <f t="shared" si="18"/>
        <v>4</v>
      </c>
      <c r="AS22" s="143">
        <f t="shared" si="18"/>
        <v>0</v>
      </c>
      <c r="AT22" s="143">
        <f t="shared" si="18"/>
        <v>0</v>
      </c>
      <c r="AU22" s="143">
        <f t="shared" ref="AU22:AU29" si="19">SUM(AU4:AU20)</f>
        <v>3</v>
      </c>
      <c r="AV22" s="143"/>
      <c r="AW22" s="143"/>
      <c r="AX22" s="143">
        <f t="shared" ref="AX22:AX29" si="20">SUM(AX4:AX20)</f>
        <v>0</v>
      </c>
      <c r="AY22" s="143"/>
      <c r="AZ22" s="143"/>
      <c r="BA22" s="143">
        <f t="shared" ref="BA22:BA29" si="21">SUM(BA4:BA20)</f>
        <v>0</v>
      </c>
      <c r="BB22" s="143">
        <f t="shared" ref="BB22:BB29" si="22">SUM(BB4:BB20)</f>
        <v>2</v>
      </c>
      <c r="BC22" s="143"/>
      <c r="BD22" s="143"/>
      <c r="BE22" s="143"/>
      <c r="BF22" s="143"/>
      <c r="BG22" s="143">
        <f t="shared" ref="BG22:BH29" si="23">SUM(BG4:BG20)</f>
        <v>2</v>
      </c>
      <c r="BH22" s="143">
        <f t="shared" si="23"/>
        <v>0</v>
      </c>
      <c r="BI22" s="143"/>
      <c r="BJ22" s="143"/>
      <c r="BK22" s="143">
        <f t="shared" ref="BK22:BK29" si="24">SUM(BK4:BK20)</f>
        <v>0</v>
      </c>
      <c r="BL22" s="141" t="e">
        <f>SUMPRODUCT($L$3:$L$47,BL3:BL18)</f>
        <v>#VALUE!</v>
      </c>
      <c r="BM22" s="141"/>
      <c r="BN22" s="209"/>
      <c r="BO22" s="6"/>
      <c r="BP22" s="6"/>
      <c r="BQ22" s="6"/>
      <c r="BR22" s="6"/>
      <c r="BS22" s="6"/>
      <c r="BT22" s="6"/>
      <c r="BU22" s="6"/>
      <c r="BV22" s="6"/>
      <c r="BW22" s="6"/>
    </row>
    <row r="23" spans="1:75" ht="13.8" hidden="1" x14ac:dyDescent="0.3">
      <c r="A23" s="172" t="s">
        <v>54</v>
      </c>
      <c r="B23" s="146"/>
      <c r="C23" s="30"/>
      <c r="D23" s="30"/>
      <c r="E23" s="31"/>
      <c r="F23" s="30"/>
      <c r="G23" s="237"/>
      <c r="H23" s="30"/>
      <c r="I23" s="237"/>
      <c r="J23" s="237"/>
      <c r="K23" s="237"/>
      <c r="L23" s="238"/>
      <c r="M23" s="238"/>
      <c r="N23" s="239"/>
      <c r="O23" s="143">
        <f t="shared" ref="O23:AT23" si="25">SUM(O5:O21)</f>
        <v>0</v>
      </c>
      <c r="P23" s="143">
        <f t="shared" si="25"/>
        <v>0</v>
      </c>
      <c r="Q23" s="143">
        <f t="shared" si="25"/>
        <v>2</v>
      </c>
      <c r="R23" s="143">
        <f t="shared" si="25"/>
        <v>0</v>
      </c>
      <c r="S23" s="143">
        <f t="shared" si="25"/>
        <v>2</v>
      </c>
      <c r="T23" s="143">
        <f t="shared" si="25"/>
        <v>4</v>
      </c>
      <c r="U23" s="143">
        <f t="shared" si="25"/>
        <v>4</v>
      </c>
      <c r="V23" s="143">
        <f t="shared" si="25"/>
        <v>2</v>
      </c>
      <c r="W23" s="143">
        <f t="shared" si="25"/>
        <v>0</v>
      </c>
      <c r="X23" s="143">
        <f t="shared" si="25"/>
        <v>0</v>
      </c>
      <c r="Y23" s="143">
        <f t="shared" si="25"/>
        <v>0</v>
      </c>
      <c r="Z23" s="143">
        <f t="shared" si="25"/>
        <v>0</v>
      </c>
      <c r="AA23" s="143">
        <f t="shared" si="25"/>
        <v>2</v>
      </c>
      <c r="AB23" s="143">
        <f t="shared" si="25"/>
        <v>0</v>
      </c>
      <c r="AC23" s="143">
        <f t="shared" si="25"/>
        <v>0</v>
      </c>
      <c r="AD23" s="143">
        <f t="shared" si="25"/>
        <v>2</v>
      </c>
      <c r="AE23" s="143">
        <f t="shared" si="25"/>
        <v>2</v>
      </c>
      <c r="AF23" s="143">
        <f t="shared" si="25"/>
        <v>0</v>
      </c>
      <c r="AG23" s="143">
        <f t="shared" si="25"/>
        <v>2</v>
      </c>
      <c r="AH23" s="143">
        <f t="shared" si="25"/>
        <v>4</v>
      </c>
      <c r="AI23" s="143">
        <f t="shared" si="25"/>
        <v>0</v>
      </c>
      <c r="AJ23" s="143">
        <f t="shared" si="25"/>
        <v>0</v>
      </c>
      <c r="AK23" s="143">
        <f t="shared" si="25"/>
        <v>0</v>
      </c>
      <c r="AL23" s="143">
        <f t="shared" si="25"/>
        <v>4</v>
      </c>
      <c r="AM23" s="143">
        <f t="shared" si="25"/>
        <v>0</v>
      </c>
      <c r="AN23" s="143">
        <f t="shared" si="25"/>
        <v>0</v>
      </c>
      <c r="AO23" s="143">
        <f t="shared" si="25"/>
        <v>2</v>
      </c>
      <c r="AP23" s="143">
        <f t="shared" si="25"/>
        <v>2</v>
      </c>
      <c r="AQ23" s="143">
        <f t="shared" si="25"/>
        <v>0</v>
      </c>
      <c r="AR23" s="143">
        <f t="shared" si="25"/>
        <v>8</v>
      </c>
      <c r="AS23" s="143">
        <f t="shared" si="25"/>
        <v>0</v>
      </c>
      <c r="AT23" s="143">
        <f t="shared" si="25"/>
        <v>0</v>
      </c>
      <c r="AU23" s="143">
        <f t="shared" si="19"/>
        <v>6</v>
      </c>
      <c r="AV23" s="143"/>
      <c r="AW23" s="143"/>
      <c r="AX23" s="143">
        <f t="shared" si="20"/>
        <v>0</v>
      </c>
      <c r="AY23" s="143"/>
      <c r="AZ23" s="143"/>
      <c r="BA23" s="143">
        <f t="shared" si="21"/>
        <v>0</v>
      </c>
      <c r="BB23" s="143">
        <f t="shared" si="22"/>
        <v>4</v>
      </c>
      <c r="BC23" s="143"/>
      <c r="BD23" s="143"/>
      <c r="BE23" s="143"/>
      <c r="BF23" s="143"/>
      <c r="BG23" s="143">
        <f t="shared" si="23"/>
        <v>4</v>
      </c>
      <c r="BH23" s="143">
        <f t="shared" si="23"/>
        <v>0</v>
      </c>
      <c r="BI23" s="143"/>
      <c r="BJ23" s="143"/>
      <c r="BK23" s="143">
        <f t="shared" si="24"/>
        <v>0</v>
      </c>
      <c r="BL23" s="139" t="e">
        <f>SUMPRODUCT($H$3:$H$47,$N$3:$N$47,BL3:BL18)</f>
        <v>#VALUE!</v>
      </c>
      <c r="BM23" s="139"/>
      <c r="BN23" s="209"/>
      <c r="BO23" s="6"/>
      <c r="BP23" s="6"/>
      <c r="BQ23" s="6"/>
      <c r="BR23" s="6"/>
      <c r="BS23" s="6"/>
      <c r="BT23" s="6"/>
      <c r="BU23" s="6"/>
      <c r="BV23" s="6"/>
      <c r="BW23" s="6"/>
    </row>
    <row r="24" spans="1:75" ht="13.8" hidden="1" x14ac:dyDescent="0.3">
      <c r="A24" s="172" t="s">
        <v>36</v>
      </c>
      <c r="B24" s="146"/>
      <c r="C24" s="30"/>
      <c r="D24" s="30"/>
      <c r="E24" s="31"/>
      <c r="F24" s="30"/>
      <c r="G24" s="237"/>
      <c r="H24" s="30"/>
      <c r="I24" s="237"/>
      <c r="J24" s="237"/>
      <c r="K24" s="237"/>
      <c r="L24" s="238"/>
      <c r="M24" s="238"/>
      <c r="N24" s="239"/>
      <c r="O24" s="143">
        <f t="shared" ref="O24:AT24" si="26">SUM(O6:O22)</f>
        <v>0</v>
      </c>
      <c r="P24" s="143">
        <f t="shared" si="26"/>
        <v>0</v>
      </c>
      <c r="Q24" s="143">
        <f t="shared" si="26"/>
        <v>3</v>
      </c>
      <c r="R24" s="143">
        <f t="shared" si="26"/>
        <v>0</v>
      </c>
      <c r="S24" s="143">
        <f t="shared" si="26"/>
        <v>3</v>
      </c>
      <c r="T24" s="143">
        <f t="shared" si="26"/>
        <v>6</v>
      </c>
      <c r="U24" s="143">
        <f t="shared" si="26"/>
        <v>6</v>
      </c>
      <c r="V24" s="143">
        <f t="shared" si="26"/>
        <v>2</v>
      </c>
      <c r="W24" s="143">
        <f t="shared" si="26"/>
        <v>0</v>
      </c>
      <c r="X24" s="143">
        <f t="shared" si="26"/>
        <v>0</v>
      </c>
      <c r="Y24" s="143">
        <f t="shared" si="26"/>
        <v>0</v>
      </c>
      <c r="Z24" s="143">
        <f t="shared" si="26"/>
        <v>0</v>
      </c>
      <c r="AA24" s="143">
        <f t="shared" si="26"/>
        <v>3</v>
      </c>
      <c r="AB24" s="143">
        <f t="shared" si="26"/>
        <v>0</v>
      </c>
      <c r="AC24" s="143">
        <f t="shared" si="26"/>
        <v>0</v>
      </c>
      <c r="AD24" s="143">
        <f t="shared" si="26"/>
        <v>3</v>
      </c>
      <c r="AE24" s="143">
        <f t="shared" si="26"/>
        <v>3</v>
      </c>
      <c r="AF24" s="143">
        <f t="shared" si="26"/>
        <v>0</v>
      </c>
      <c r="AG24" s="143">
        <f t="shared" si="26"/>
        <v>3</v>
      </c>
      <c r="AH24" s="143">
        <f t="shared" si="26"/>
        <v>6</v>
      </c>
      <c r="AI24" s="143">
        <f t="shared" si="26"/>
        <v>0</v>
      </c>
      <c r="AJ24" s="143">
        <f t="shared" si="26"/>
        <v>0</v>
      </c>
      <c r="AK24" s="143">
        <f t="shared" si="26"/>
        <v>0</v>
      </c>
      <c r="AL24" s="143">
        <f t="shared" si="26"/>
        <v>6</v>
      </c>
      <c r="AM24" s="143">
        <f t="shared" si="26"/>
        <v>0</v>
      </c>
      <c r="AN24" s="143">
        <f t="shared" si="26"/>
        <v>0</v>
      </c>
      <c r="AO24" s="143">
        <f t="shared" si="26"/>
        <v>3</v>
      </c>
      <c r="AP24" s="143">
        <f t="shared" si="26"/>
        <v>3</v>
      </c>
      <c r="AQ24" s="143">
        <f t="shared" si="26"/>
        <v>0</v>
      </c>
      <c r="AR24" s="143">
        <f t="shared" si="26"/>
        <v>12</v>
      </c>
      <c r="AS24" s="143">
        <f t="shared" si="26"/>
        <v>0</v>
      </c>
      <c r="AT24" s="143">
        <f t="shared" si="26"/>
        <v>0</v>
      </c>
      <c r="AU24" s="143">
        <f t="shared" si="19"/>
        <v>6</v>
      </c>
      <c r="AV24" s="143"/>
      <c r="AW24" s="143"/>
      <c r="AX24" s="143">
        <f t="shared" si="20"/>
        <v>0</v>
      </c>
      <c r="AY24" s="143"/>
      <c r="AZ24" s="143"/>
      <c r="BA24" s="143">
        <f t="shared" si="21"/>
        <v>0</v>
      </c>
      <c r="BB24" s="143">
        <f t="shared" si="22"/>
        <v>6</v>
      </c>
      <c r="BC24" s="143"/>
      <c r="BD24" s="143"/>
      <c r="BE24" s="143"/>
      <c r="BF24" s="143"/>
      <c r="BG24" s="143">
        <f t="shared" si="23"/>
        <v>6</v>
      </c>
      <c r="BH24" s="143">
        <f t="shared" si="23"/>
        <v>0</v>
      </c>
      <c r="BI24" s="143"/>
      <c r="BJ24" s="143"/>
      <c r="BK24" s="143">
        <f t="shared" si="24"/>
        <v>0</v>
      </c>
      <c r="BL24" s="141">
        <f>DSUM($D$2:$BL$47,$K$2,BL30:BL31)</f>
        <v>0</v>
      </c>
      <c r="BM24" s="139"/>
      <c r="BN24" s="209"/>
      <c r="BO24" s="6"/>
      <c r="BP24" s="6"/>
      <c r="BQ24" s="6"/>
      <c r="BR24" s="6"/>
      <c r="BS24" s="6"/>
      <c r="BT24" s="6"/>
      <c r="BU24" s="6"/>
      <c r="BV24" s="6"/>
      <c r="BW24" s="6"/>
    </row>
    <row r="25" spans="1:75" ht="13.8" hidden="1" x14ac:dyDescent="0.3">
      <c r="A25" s="172" t="s">
        <v>138</v>
      </c>
      <c r="B25" s="153"/>
      <c r="C25" s="153"/>
      <c r="D25" s="153"/>
      <c r="E25" s="153"/>
      <c r="F25" s="153"/>
      <c r="G25" s="240"/>
      <c r="H25" s="153"/>
      <c r="I25" s="240"/>
      <c r="J25" s="240"/>
      <c r="K25" s="240"/>
      <c r="L25" s="240"/>
      <c r="M25" s="240"/>
      <c r="N25" s="241"/>
      <c r="O25" s="143">
        <f t="shared" ref="O25:AT25" si="27">SUM(O7:O23)</f>
        <v>0</v>
      </c>
      <c r="P25" s="143">
        <f t="shared" si="27"/>
        <v>0</v>
      </c>
      <c r="Q25" s="143">
        <f t="shared" si="27"/>
        <v>5</v>
      </c>
      <c r="R25" s="143">
        <f t="shared" si="27"/>
        <v>0</v>
      </c>
      <c r="S25" s="143">
        <f t="shared" si="27"/>
        <v>5</v>
      </c>
      <c r="T25" s="143">
        <f t="shared" si="27"/>
        <v>10</v>
      </c>
      <c r="U25" s="143">
        <f t="shared" si="27"/>
        <v>10</v>
      </c>
      <c r="V25" s="143">
        <f t="shared" si="27"/>
        <v>4</v>
      </c>
      <c r="W25" s="143">
        <f t="shared" si="27"/>
        <v>0</v>
      </c>
      <c r="X25" s="143">
        <f t="shared" si="27"/>
        <v>0</v>
      </c>
      <c r="Y25" s="143">
        <f t="shared" si="27"/>
        <v>0</v>
      </c>
      <c r="Z25" s="143">
        <f t="shared" si="27"/>
        <v>0</v>
      </c>
      <c r="AA25" s="143">
        <f t="shared" si="27"/>
        <v>5</v>
      </c>
      <c r="AB25" s="143">
        <f t="shared" si="27"/>
        <v>0</v>
      </c>
      <c r="AC25" s="143">
        <f t="shared" si="27"/>
        <v>0</v>
      </c>
      <c r="AD25" s="143">
        <f t="shared" si="27"/>
        <v>5</v>
      </c>
      <c r="AE25" s="143">
        <f t="shared" si="27"/>
        <v>4</v>
      </c>
      <c r="AF25" s="143">
        <f t="shared" si="27"/>
        <v>0</v>
      </c>
      <c r="AG25" s="143">
        <f t="shared" si="27"/>
        <v>4</v>
      </c>
      <c r="AH25" s="143">
        <f t="shared" si="27"/>
        <v>10</v>
      </c>
      <c r="AI25" s="143">
        <f t="shared" si="27"/>
        <v>0</v>
      </c>
      <c r="AJ25" s="143">
        <f t="shared" si="27"/>
        <v>0</v>
      </c>
      <c r="AK25" s="143">
        <f t="shared" si="27"/>
        <v>0</v>
      </c>
      <c r="AL25" s="143">
        <f t="shared" si="27"/>
        <v>10</v>
      </c>
      <c r="AM25" s="143">
        <f t="shared" si="27"/>
        <v>0</v>
      </c>
      <c r="AN25" s="143">
        <f t="shared" si="27"/>
        <v>0</v>
      </c>
      <c r="AO25" s="143">
        <f t="shared" si="27"/>
        <v>5</v>
      </c>
      <c r="AP25" s="143">
        <f t="shared" si="27"/>
        <v>5</v>
      </c>
      <c r="AQ25" s="143">
        <f t="shared" si="27"/>
        <v>0</v>
      </c>
      <c r="AR25" s="143">
        <f t="shared" si="27"/>
        <v>20</v>
      </c>
      <c r="AS25" s="143">
        <f t="shared" si="27"/>
        <v>0</v>
      </c>
      <c r="AT25" s="141">
        <f t="shared" si="27"/>
        <v>0</v>
      </c>
      <c r="AU25" s="141">
        <f t="shared" si="19"/>
        <v>12</v>
      </c>
      <c r="AV25" s="141"/>
      <c r="AW25" s="141"/>
      <c r="AX25" s="141">
        <f t="shared" si="20"/>
        <v>0</v>
      </c>
      <c r="AY25" s="141"/>
      <c r="AZ25" s="141"/>
      <c r="BA25" s="141">
        <f t="shared" si="21"/>
        <v>0</v>
      </c>
      <c r="BB25" s="141">
        <f t="shared" si="22"/>
        <v>10</v>
      </c>
      <c r="BC25" s="141"/>
      <c r="BD25" s="141"/>
      <c r="BE25" s="141"/>
      <c r="BF25" s="141"/>
      <c r="BG25" s="141">
        <f t="shared" si="23"/>
        <v>9</v>
      </c>
      <c r="BH25" s="141">
        <f t="shared" si="23"/>
        <v>0</v>
      </c>
      <c r="BI25" s="141"/>
      <c r="BJ25" s="141"/>
      <c r="BK25" s="141">
        <f t="shared" si="24"/>
        <v>0</v>
      </c>
      <c r="BL25" s="142" t="e">
        <f t="shared" ref="BL25" si="28">SUM(BL22:BL24)</f>
        <v>#VALUE!</v>
      </c>
      <c r="BM25" s="140"/>
      <c r="BN25" s="209"/>
      <c r="BO25" s="6"/>
      <c r="BP25" s="6"/>
      <c r="BQ25" s="6"/>
      <c r="BR25" s="6"/>
      <c r="BS25" s="6"/>
      <c r="BT25" s="6"/>
      <c r="BU25" s="6"/>
      <c r="BV25" s="6"/>
      <c r="BW25" s="6"/>
    </row>
    <row r="26" spans="1:75" ht="13.8" hidden="1" x14ac:dyDescent="0.3">
      <c r="A26" s="172" t="s">
        <v>139</v>
      </c>
      <c r="B26" s="153"/>
      <c r="C26" s="153"/>
      <c r="D26" s="153"/>
      <c r="E26" s="153"/>
      <c r="F26" s="153"/>
      <c r="G26" s="240"/>
      <c r="H26" s="153"/>
      <c r="I26" s="240"/>
      <c r="J26" s="240"/>
      <c r="K26" s="240"/>
      <c r="L26" s="240"/>
      <c r="M26" s="240"/>
      <c r="N26" s="241"/>
      <c r="O26" s="143">
        <f t="shared" ref="O26:AT26" si="29">SUM(O8:O24)</f>
        <v>0</v>
      </c>
      <c r="P26" s="143">
        <f t="shared" si="29"/>
        <v>0</v>
      </c>
      <c r="Q26" s="143">
        <f t="shared" si="29"/>
        <v>8</v>
      </c>
      <c r="R26" s="143">
        <f t="shared" si="29"/>
        <v>0</v>
      </c>
      <c r="S26" s="143">
        <f t="shared" si="29"/>
        <v>8</v>
      </c>
      <c r="T26" s="143">
        <f t="shared" si="29"/>
        <v>16</v>
      </c>
      <c r="U26" s="143">
        <f t="shared" si="29"/>
        <v>16</v>
      </c>
      <c r="V26" s="143">
        <f t="shared" si="29"/>
        <v>6</v>
      </c>
      <c r="W26" s="143">
        <f t="shared" si="29"/>
        <v>0</v>
      </c>
      <c r="X26" s="143">
        <f t="shared" si="29"/>
        <v>0</v>
      </c>
      <c r="Y26" s="143">
        <f t="shared" si="29"/>
        <v>0</v>
      </c>
      <c r="Z26" s="143">
        <f t="shared" si="29"/>
        <v>0</v>
      </c>
      <c r="AA26" s="143">
        <f t="shared" si="29"/>
        <v>8</v>
      </c>
      <c r="AB26" s="143">
        <f t="shared" si="29"/>
        <v>0</v>
      </c>
      <c r="AC26" s="143">
        <f t="shared" si="29"/>
        <v>0</v>
      </c>
      <c r="AD26" s="143">
        <f t="shared" si="29"/>
        <v>7</v>
      </c>
      <c r="AE26" s="143">
        <f t="shared" si="29"/>
        <v>7</v>
      </c>
      <c r="AF26" s="143">
        <f t="shared" si="29"/>
        <v>0</v>
      </c>
      <c r="AG26" s="143">
        <f t="shared" si="29"/>
        <v>7</v>
      </c>
      <c r="AH26" s="143">
        <f t="shared" si="29"/>
        <v>16</v>
      </c>
      <c r="AI26" s="143">
        <f t="shared" si="29"/>
        <v>0</v>
      </c>
      <c r="AJ26" s="143">
        <f t="shared" si="29"/>
        <v>0</v>
      </c>
      <c r="AK26" s="143">
        <f t="shared" si="29"/>
        <v>0</v>
      </c>
      <c r="AL26" s="143">
        <f t="shared" si="29"/>
        <v>16</v>
      </c>
      <c r="AM26" s="143">
        <f t="shared" si="29"/>
        <v>0</v>
      </c>
      <c r="AN26" s="143">
        <f t="shared" si="29"/>
        <v>0</v>
      </c>
      <c r="AO26" s="143">
        <f t="shared" si="29"/>
        <v>8</v>
      </c>
      <c r="AP26" s="143">
        <f t="shared" si="29"/>
        <v>8</v>
      </c>
      <c r="AQ26" s="143">
        <f t="shared" si="29"/>
        <v>0</v>
      </c>
      <c r="AR26" s="143">
        <f t="shared" si="29"/>
        <v>32</v>
      </c>
      <c r="AS26" s="143">
        <f t="shared" si="29"/>
        <v>0</v>
      </c>
      <c r="AT26" s="141">
        <f t="shared" si="29"/>
        <v>0</v>
      </c>
      <c r="AU26" s="141">
        <f t="shared" si="19"/>
        <v>18</v>
      </c>
      <c r="AV26" s="141"/>
      <c r="AW26" s="141"/>
      <c r="AX26" s="141">
        <f t="shared" si="20"/>
        <v>0</v>
      </c>
      <c r="AY26" s="141"/>
      <c r="AZ26" s="141"/>
      <c r="BA26" s="141">
        <f t="shared" si="21"/>
        <v>0</v>
      </c>
      <c r="BB26" s="141">
        <f t="shared" si="22"/>
        <v>15</v>
      </c>
      <c r="BC26" s="141"/>
      <c r="BD26" s="141"/>
      <c r="BE26" s="141"/>
      <c r="BF26" s="141"/>
      <c r="BG26" s="141">
        <f t="shared" si="23"/>
        <v>15</v>
      </c>
      <c r="BH26" s="141">
        <f t="shared" si="23"/>
        <v>0</v>
      </c>
      <c r="BI26" s="141"/>
      <c r="BJ26" s="141"/>
      <c r="BK26" s="141">
        <f t="shared" si="24"/>
        <v>0</v>
      </c>
      <c r="BL26" s="142"/>
      <c r="BM26" s="140"/>
      <c r="BN26" s="209"/>
      <c r="BO26" s="6"/>
      <c r="BP26" s="6"/>
      <c r="BQ26" s="6"/>
      <c r="BR26" s="6"/>
      <c r="BS26" s="6"/>
      <c r="BT26" s="6"/>
      <c r="BU26" s="6"/>
      <c r="BV26" s="6"/>
      <c r="BW26" s="6"/>
    </row>
    <row r="27" spans="1:75" ht="13.8" hidden="1" x14ac:dyDescent="0.3">
      <c r="A27" s="171" t="s">
        <v>140</v>
      </c>
      <c r="B27" s="169"/>
      <c r="C27" s="169"/>
      <c r="D27" s="169"/>
      <c r="E27" s="169"/>
      <c r="F27" s="169"/>
      <c r="G27" s="242"/>
      <c r="H27" s="169"/>
      <c r="I27" s="242"/>
      <c r="J27" s="242"/>
      <c r="K27" s="242"/>
      <c r="L27" s="242"/>
      <c r="M27" s="242"/>
      <c r="N27" s="243"/>
      <c r="O27" s="143">
        <f t="shared" ref="O27:AT27" si="30">SUM(O9:O25)</f>
        <v>0</v>
      </c>
      <c r="P27" s="143">
        <f t="shared" si="30"/>
        <v>0</v>
      </c>
      <c r="Q27" s="143">
        <f t="shared" si="30"/>
        <v>13</v>
      </c>
      <c r="R27" s="143">
        <f t="shared" si="30"/>
        <v>0</v>
      </c>
      <c r="S27" s="143">
        <f t="shared" si="30"/>
        <v>13</v>
      </c>
      <c r="T27" s="143">
        <f t="shared" si="30"/>
        <v>26</v>
      </c>
      <c r="U27" s="143">
        <f t="shared" si="30"/>
        <v>25</v>
      </c>
      <c r="V27" s="143">
        <f t="shared" si="30"/>
        <v>10</v>
      </c>
      <c r="W27" s="143">
        <f t="shared" si="30"/>
        <v>0</v>
      </c>
      <c r="X27" s="143">
        <f t="shared" si="30"/>
        <v>0</v>
      </c>
      <c r="Y27" s="143">
        <f t="shared" si="30"/>
        <v>0</v>
      </c>
      <c r="Z27" s="143">
        <f t="shared" si="30"/>
        <v>0</v>
      </c>
      <c r="AA27" s="143">
        <f t="shared" si="30"/>
        <v>13</v>
      </c>
      <c r="AB27" s="143">
        <f t="shared" si="30"/>
        <v>0</v>
      </c>
      <c r="AC27" s="143">
        <f t="shared" si="30"/>
        <v>0</v>
      </c>
      <c r="AD27" s="143">
        <f t="shared" si="30"/>
        <v>12</v>
      </c>
      <c r="AE27" s="143">
        <f t="shared" si="30"/>
        <v>11</v>
      </c>
      <c r="AF27" s="143">
        <f t="shared" si="30"/>
        <v>0</v>
      </c>
      <c r="AG27" s="143">
        <f t="shared" si="30"/>
        <v>11</v>
      </c>
      <c r="AH27" s="143">
        <f t="shared" si="30"/>
        <v>26</v>
      </c>
      <c r="AI27" s="143">
        <f t="shared" si="30"/>
        <v>0</v>
      </c>
      <c r="AJ27" s="143">
        <f t="shared" si="30"/>
        <v>0</v>
      </c>
      <c r="AK27" s="143">
        <f t="shared" si="30"/>
        <v>0</v>
      </c>
      <c r="AL27" s="143">
        <f t="shared" si="30"/>
        <v>26</v>
      </c>
      <c r="AM27" s="143">
        <f t="shared" si="30"/>
        <v>0</v>
      </c>
      <c r="AN27" s="143">
        <f t="shared" si="30"/>
        <v>0</v>
      </c>
      <c r="AO27" s="143">
        <f t="shared" si="30"/>
        <v>12</v>
      </c>
      <c r="AP27" s="143">
        <f t="shared" si="30"/>
        <v>13</v>
      </c>
      <c r="AQ27" s="143">
        <f t="shared" si="30"/>
        <v>0</v>
      </c>
      <c r="AR27" s="143">
        <f t="shared" si="30"/>
        <v>51</v>
      </c>
      <c r="AS27" s="143">
        <f t="shared" si="30"/>
        <v>0</v>
      </c>
      <c r="AT27" s="141">
        <f t="shared" si="30"/>
        <v>0</v>
      </c>
      <c r="AU27" s="141">
        <f t="shared" si="19"/>
        <v>30</v>
      </c>
      <c r="AV27" s="141"/>
      <c r="AW27" s="141"/>
      <c r="AX27" s="141">
        <f t="shared" si="20"/>
        <v>0</v>
      </c>
      <c r="AY27" s="141"/>
      <c r="AZ27" s="141"/>
      <c r="BA27" s="141">
        <f t="shared" si="21"/>
        <v>0</v>
      </c>
      <c r="BB27" s="141">
        <f t="shared" si="22"/>
        <v>24</v>
      </c>
      <c r="BC27" s="141"/>
      <c r="BD27" s="141"/>
      <c r="BE27" s="141"/>
      <c r="BF27" s="141"/>
      <c r="BG27" s="141">
        <f t="shared" si="23"/>
        <v>23</v>
      </c>
      <c r="BH27" s="141">
        <f t="shared" si="23"/>
        <v>0</v>
      </c>
      <c r="BI27" s="141"/>
      <c r="BJ27" s="141"/>
      <c r="BK27" s="141">
        <f t="shared" si="24"/>
        <v>0</v>
      </c>
      <c r="BL27" s="142"/>
      <c r="BM27" s="140"/>
      <c r="BN27" s="209"/>
      <c r="BO27" s="6"/>
      <c r="BP27" s="6"/>
      <c r="BQ27" s="6"/>
      <c r="BR27" s="6"/>
      <c r="BS27" s="6"/>
      <c r="BT27" s="6"/>
      <c r="BU27" s="6"/>
      <c r="BV27" s="6"/>
      <c r="BW27" s="6"/>
    </row>
    <row r="28" spans="1:75" ht="13.8" hidden="1" x14ac:dyDescent="0.3">
      <c r="A28" s="171" t="s">
        <v>141</v>
      </c>
      <c r="B28" s="169"/>
      <c r="C28" s="169"/>
      <c r="D28" s="169"/>
      <c r="E28" s="169"/>
      <c r="F28" s="169"/>
      <c r="G28" s="242"/>
      <c r="H28" s="169"/>
      <c r="I28" s="242"/>
      <c r="J28" s="242"/>
      <c r="K28" s="242"/>
      <c r="L28" s="242"/>
      <c r="M28" s="242"/>
      <c r="N28" s="243"/>
      <c r="O28" s="143">
        <f t="shared" ref="O28:AT28" si="31">SUM(O10:O26)</f>
        <v>0</v>
      </c>
      <c r="P28" s="143">
        <f t="shared" si="31"/>
        <v>0</v>
      </c>
      <c r="Q28" s="143">
        <f t="shared" si="31"/>
        <v>20</v>
      </c>
      <c r="R28" s="143">
        <f t="shared" si="31"/>
        <v>0</v>
      </c>
      <c r="S28" s="143">
        <f t="shared" si="31"/>
        <v>20</v>
      </c>
      <c r="T28" s="143">
        <f t="shared" si="31"/>
        <v>42</v>
      </c>
      <c r="U28" s="143">
        <f t="shared" si="31"/>
        <v>41</v>
      </c>
      <c r="V28" s="143">
        <f t="shared" si="31"/>
        <v>16</v>
      </c>
      <c r="W28" s="143">
        <f t="shared" si="31"/>
        <v>0</v>
      </c>
      <c r="X28" s="143">
        <f t="shared" si="31"/>
        <v>0</v>
      </c>
      <c r="Y28" s="143">
        <f t="shared" si="31"/>
        <v>0</v>
      </c>
      <c r="Z28" s="143">
        <f t="shared" si="31"/>
        <v>0</v>
      </c>
      <c r="AA28" s="143">
        <f t="shared" si="31"/>
        <v>21</v>
      </c>
      <c r="AB28" s="143">
        <f t="shared" si="31"/>
        <v>0</v>
      </c>
      <c r="AC28" s="143">
        <f t="shared" si="31"/>
        <v>0</v>
      </c>
      <c r="AD28" s="143">
        <f t="shared" si="31"/>
        <v>19</v>
      </c>
      <c r="AE28" s="143">
        <f t="shared" si="31"/>
        <v>18</v>
      </c>
      <c r="AF28" s="143">
        <f t="shared" si="31"/>
        <v>0</v>
      </c>
      <c r="AG28" s="143">
        <f t="shared" si="31"/>
        <v>18</v>
      </c>
      <c r="AH28" s="143">
        <f t="shared" si="31"/>
        <v>42</v>
      </c>
      <c r="AI28" s="143">
        <f t="shared" si="31"/>
        <v>0</v>
      </c>
      <c r="AJ28" s="143">
        <f t="shared" si="31"/>
        <v>0</v>
      </c>
      <c r="AK28" s="143">
        <f t="shared" si="31"/>
        <v>0</v>
      </c>
      <c r="AL28" s="143">
        <f t="shared" si="31"/>
        <v>42</v>
      </c>
      <c r="AM28" s="143">
        <f t="shared" si="31"/>
        <v>0</v>
      </c>
      <c r="AN28" s="143">
        <f t="shared" si="31"/>
        <v>0</v>
      </c>
      <c r="AO28" s="143">
        <f t="shared" si="31"/>
        <v>20</v>
      </c>
      <c r="AP28" s="143">
        <f t="shared" si="31"/>
        <v>20</v>
      </c>
      <c r="AQ28" s="143">
        <f t="shared" si="31"/>
        <v>0</v>
      </c>
      <c r="AR28" s="143">
        <f t="shared" si="31"/>
        <v>82</v>
      </c>
      <c r="AS28" s="143">
        <f t="shared" si="31"/>
        <v>0</v>
      </c>
      <c r="AT28" s="141">
        <f t="shared" si="31"/>
        <v>0</v>
      </c>
      <c r="AU28" s="141">
        <f t="shared" si="19"/>
        <v>48</v>
      </c>
      <c r="AV28" s="141"/>
      <c r="AW28" s="141"/>
      <c r="AX28" s="141">
        <f t="shared" si="20"/>
        <v>0</v>
      </c>
      <c r="AY28" s="141"/>
      <c r="AZ28" s="141"/>
      <c r="BA28" s="141">
        <f t="shared" si="21"/>
        <v>0</v>
      </c>
      <c r="BB28" s="141">
        <f t="shared" si="22"/>
        <v>39</v>
      </c>
      <c r="BC28" s="141"/>
      <c r="BD28" s="141"/>
      <c r="BE28" s="141"/>
      <c r="BF28" s="141"/>
      <c r="BG28" s="141">
        <f t="shared" si="23"/>
        <v>38</v>
      </c>
      <c r="BH28" s="141">
        <f t="shared" si="23"/>
        <v>0</v>
      </c>
      <c r="BI28" s="141"/>
      <c r="BJ28" s="141"/>
      <c r="BK28" s="141">
        <f t="shared" si="24"/>
        <v>0</v>
      </c>
      <c r="BL28" s="142"/>
      <c r="BM28" s="140"/>
      <c r="BN28" s="209"/>
      <c r="BO28" s="6"/>
      <c r="BP28" s="6"/>
      <c r="BQ28" s="6"/>
      <c r="BR28" s="6"/>
      <c r="BS28" s="6"/>
      <c r="BT28" s="6"/>
      <c r="BU28" s="6"/>
      <c r="BV28" s="6"/>
      <c r="BW28" s="6"/>
    </row>
    <row r="29" spans="1:75" ht="13.8" hidden="1" x14ac:dyDescent="0.3">
      <c r="A29" s="171" t="s">
        <v>142</v>
      </c>
      <c r="B29" s="169"/>
      <c r="C29" s="169"/>
      <c r="D29" s="169"/>
      <c r="E29" s="169"/>
      <c r="F29" s="169"/>
      <c r="G29" s="242"/>
      <c r="H29" s="169"/>
      <c r="I29" s="242"/>
      <c r="J29" s="242"/>
      <c r="K29" s="242"/>
      <c r="L29" s="242"/>
      <c r="M29" s="242"/>
      <c r="N29" s="243"/>
      <c r="O29" s="143">
        <f t="shared" ref="O29:AT29" si="32">SUM(O11:O27)</f>
        <v>0</v>
      </c>
      <c r="P29" s="143">
        <f t="shared" si="32"/>
        <v>0</v>
      </c>
      <c r="Q29" s="143">
        <f t="shared" si="32"/>
        <v>33</v>
      </c>
      <c r="R29" s="143">
        <f t="shared" si="32"/>
        <v>0</v>
      </c>
      <c r="S29" s="143">
        <f t="shared" si="32"/>
        <v>33</v>
      </c>
      <c r="T29" s="143">
        <f t="shared" si="32"/>
        <v>68</v>
      </c>
      <c r="U29" s="143">
        <f t="shared" si="32"/>
        <v>66</v>
      </c>
      <c r="V29" s="143">
        <f t="shared" si="32"/>
        <v>26</v>
      </c>
      <c r="W29" s="143">
        <f t="shared" si="32"/>
        <v>0</v>
      </c>
      <c r="X29" s="143">
        <f t="shared" si="32"/>
        <v>0</v>
      </c>
      <c r="Y29" s="143">
        <f t="shared" si="32"/>
        <v>0</v>
      </c>
      <c r="Z29" s="143">
        <f t="shared" si="32"/>
        <v>0</v>
      </c>
      <c r="AA29" s="143">
        <f t="shared" si="32"/>
        <v>33</v>
      </c>
      <c r="AB29" s="143">
        <f t="shared" si="32"/>
        <v>0</v>
      </c>
      <c r="AC29" s="143">
        <f t="shared" si="32"/>
        <v>0</v>
      </c>
      <c r="AD29" s="143">
        <f t="shared" si="32"/>
        <v>31</v>
      </c>
      <c r="AE29" s="143">
        <f t="shared" si="32"/>
        <v>29</v>
      </c>
      <c r="AF29" s="143">
        <f t="shared" si="32"/>
        <v>0</v>
      </c>
      <c r="AG29" s="143">
        <f t="shared" si="32"/>
        <v>29</v>
      </c>
      <c r="AH29" s="143">
        <f t="shared" si="32"/>
        <v>68</v>
      </c>
      <c r="AI29" s="143">
        <f t="shared" si="32"/>
        <v>0</v>
      </c>
      <c r="AJ29" s="143">
        <f t="shared" si="32"/>
        <v>0</v>
      </c>
      <c r="AK29" s="143">
        <f t="shared" si="32"/>
        <v>0</v>
      </c>
      <c r="AL29" s="143">
        <f t="shared" si="32"/>
        <v>68</v>
      </c>
      <c r="AM29" s="143">
        <f t="shared" si="32"/>
        <v>0</v>
      </c>
      <c r="AN29" s="143">
        <f t="shared" si="32"/>
        <v>0</v>
      </c>
      <c r="AO29" s="143">
        <f t="shared" si="32"/>
        <v>32</v>
      </c>
      <c r="AP29" s="143">
        <f t="shared" si="32"/>
        <v>33</v>
      </c>
      <c r="AQ29" s="143">
        <f t="shared" si="32"/>
        <v>0</v>
      </c>
      <c r="AR29" s="143">
        <f t="shared" si="32"/>
        <v>133</v>
      </c>
      <c r="AS29" s="143">
        <f t="shared" si="32"/>
        <v>0</v>
      </c>
      <c r="AT29" s="141">
        <f t="shared" si="32"/>
        <v>0</v>
      </c>
      <c r="AU29" s="141">
        <f t="shared" si="19"/>
        <v>78</v>
      </c>
      <c r="AV29" s="141"/>
      <c r="AW29" s="141"/>
      <c r="AX29" s="141">
        <f t="shared" si="20"/>
        <v>0</v>
      </c>
      <c r="AY29" s="141"/>
      <c r="AZ29" s="141"/>
      <c r="BA29" s="141">
        <f t="shared" si="21"/>
        <v>0</v>
      </c>
      <c r="BB29" s="141">
        <f t="shared" si="22"/>
        <v>63</v>
      </c>
      <c r="BC29" s="141"/>
      <c r="BD29" s="141"/>
      <c r="BE29" s="141"/>
      <c r="BF29" s="141"/>
      <c r="BG29" s="141">
        <f t="shared" si="23"/>
        <v>61</v>
      </c>
      <c r="BH29" s="141">
        <f t="shared" si="23"/>
        <v>0</v>
      </c>
      <c r="BI29" s="141"/>
      <c r="BJ29" s="141"/>
      <c r="BK29" s="141">
        <f t="shared" si="24"/>
        <v>0</v>
      </c>
      <c r="BL29" s="142"/>
      <c r="BM29" s="140"/>
      <c r="BN29" s="209"/>
      <c r="BO29" s="6"/>
      <c r="BP29" s="6"/>
      <c r="BQ29" s="6"/>
      <c r="BR29" s="6"/>
      <c r="BS29" s="6"/>
      <c r="BT29" s="6"/>
      <c r="BU29" s="6"/>
      <c r="BV29" s="6"/>
      <c r="BW29" s="6"/>
    </row>
    <row r="30" spans="1:75" ht="13.8" hidden="1" x14ac:dyDescent="0.3">
      <c r="A30" s="148"/>
      <c r="B30" s="149"/>
      <c r="C30" s="134"/>
      <c r="D30" s="134"/>
      <c r="E30" s="135"/>
      <c r="F30" s="134"/>
      <c r="G30" s="234"/>
      <c r="H30" s="134"/>
      <c r="I30" s="234"/>
      <c r="J30" s="234"/>
      <c r="K30" s="234"/>
      <c r="L30" s="235"/>
      <c r="M30" s="235"/>
      <c r="N30" s="236"/>
      <c r="O30" s="144" t="s">
        <v>37</v>
      </c>
      <c r="P30" s="139" t="str">
        <f>P2</f>
        <v>Lbe</v>
      </c>
      <c r="Q30" s="139" t="str">
        <f t="shared" ref="Q30:AT30" si="33">Q2</f>
        <v>LB</v>
      </c>
      <c r="R30" s="139" t="str">
        <f t="shared" si="33"/>
        <v>Sca</v>
      </c>
      <c r="S30" s="139" t="str">
        <f t="shared" si="33"/>
        <v>TD</v>
      </c>
      <c r="T30" s="139" t="str">
        <f t="shared" si="33"/>
        <v>WvD</v>
      </c>
      <c r="U30" s="139" t="str">
        <f t="shared" si="33"/>
        <v>CE</v>
      </c>
      <c r="V30" s="139" t="str">
        <f t="shared" si="33"/>
        <v>AF</v>
      </c>
      <c r="W30" s="139" t="str">
        <f t="shared" si="33"/>
        <v>WG</v>
      </c>
      <c r="X30" s="139" t="str">
        <f t="shared" si="33"/>
        <v>TG</v>
      </c>
      <c r="Y30" s="139" t="str">
        <f t="shared" si="33"/>
        <v>RH</v>
      </c>
      <c r="Z30" s="139" t="str">
        <f t="shared" si="33"/>
        <v>CH</v>
      </c>
      <c r="AA30" s="139" t="str">
        <f t="shared" si="33"/>
        <v>KH</v>
      </c>
      <c r="AB30" s="139" t="str">
        <f t="shared" si="33"/>
        <v>MH</v>
      </c>
      <c r="AC30" s="139" t="str">
        <f t="shared" si="33"/>
        <v>MK</v>
      </c>
      <c r="AD30" s="139" t="str">
        <f t="shared" si="33"/>
        <v>VL</v>
      </c>
      <c r="AE30" s="139" t="str">
        <f t="shared" si="33"/>
        <v>EM</v>
      </c>
      <c r="AF30" s="139" t="str">
        <f t="shared" si="33"/>
        <v>DM</v>
      </c>
      <c r="AG30" s="139" t="str">
        <f t="shared" si="33"/>
        <v>JM</v>
      </c>
      <c r="AH30" s="139" t="str">
        <f t="shared" si="33"/>
        <v>UM</v>
      </c>
      <c r="AI30" s="139" t="str">
        <f t="shared" si="33"/>
        <v>AO</v>
      </c>
      <c r="AJ30" s="139" t="str">
        <f t="shared" si="33"/>
        <v>JvP</v>
      </c>
      <c r="AK30" s="139" t="str">
        <f t="shared" si="33"/>
        <v>CR</v>
      </c>
      <c r="AL30" s="139" t="str">
        <f t="shared" si="33"/>
        <v>IR</v>
      </c>
      <c r="AM30" s="139" t="str">
        <f t="shared" si="33"/>
        <v>JS</v>
      </c>
      <c r="AN30" s="139" t="str">
        <f t="shared" si="33"/>
        <v>BS</v>
      </c>
      <c r="AO30" s="139" t="str">
        <f t="shared" si="33"/>
        <v>MS</v>
      </c>
      <c r="AP30" s="139" t="str">
        <f t="shared" si="33"/>
        <v>PV</v>
      </c>
      <c r="AQ30" s="139" t="str">
        <f t="shared" si="33"/>
        <v>DV</v>
      </c>
      <c r="AR30" s="139" t="str">
        <f t="shared" si="33"/>
        <v>JW</v>
      </c>
      <c r="AS30" s="139" t="str">
        <f t="shared" si="33"/>
        <v>AW</v>
      </c>
      <c r="AT30" s="139" t="str">
        <f t="shared" si="33"/>
        <v>CYPL</v>
      </c>
      <c r="AU30" s="139" t="s">
        <v>37</v>
      </c>
      <c r="AV30" s="139"/>
      <c r="AW30" s="139"/>
      <c r="AX30" s="139" t="s">
        <v>37</v>
      </c>
      <c r="AY30" s="139"/>
      <c r="AZ30" s="139"/>
      <c r="BA30" s="139" t="s">
        <v>37</v>
      </c>
      <c r="BB30" s="139" t="s">
        <v>37</v>
      </c>
      <c r="BC30" s="139"/>
      <c r="BD30" s="139"/>
      <c r="BE30" s="139"/>
      <c r="BF30" s="139"/>
      <c r="BG30" s="139" t="s">
        <v>37</v>
      </c>
      <c r="BH30" s="139" t="s">
        <v>37</v>
      </c>
      <c r="BI30" s="139"/>
      <c r="BJ30" s="139"/>
      <c r="BK30" s="139" t="s">
        <v>37</v>
      </c>
      <c r="BL30" s="139" t="s">
        <v>37</v>
      </c>
      <c r="BM30" s="139"/>
      <c r="BN30" s="209"/>
      <c r="BO30" s="6"/>
      <c r="BP30" s="6"/>
      <c r="BQ30" s="6"/>
      <c r="BR30" s="6"/>
      <c r="BS30" s="6"/>
      <c r="BT30" s="6"/>
      <c r="BU30" s="6"/>
      <c r="BV30" s="6"/>
      <c r="BW30" s="6"/>
    </row>
    <row r="31" spans="1:75" ht="13.8" hidden="1" x14ac:dyDescent="0.3">
      <c r="A31" s="155"/>
      <c r="B31" s="156"/>
      <c r="C31" s="117"/>
      <c r="D31" s="117"/>
      <c r="E31" s="137"/>
      <c r="F31" s="117"/>
      <c r="G31" s="244"/>
      <c r="H31" s="117"/>
      <c r="I31" s="244"/>
      <c r="J31" s="244"/>
      <c r="K31" s="244"/>
      <c r="L31" s="245"/>
      <c r="M31" s="245"/>
      <c r="N31" s="246"/>
      <c r="O31" s="144" t="str">
        <f t="shared" ref="O31:AT31" si="34">O2</f>
        <v>FAC</v>
      </c>
      <c r="P31" s="144" t="str">
        <f t="shared" si="34"/>
        <v>Lbe</v>
      </c>
      <c r="Q31" s="144" t="str">
        <f t="shared" si="34"/>
        <v>LB</v>
      </c>
      <c r="R31" s="144" t="str">
        <f t="shared" si="34"/>
        <v>Sca</v>
      </c>
      <c r="S31" s="144" t="str">
        <f t="shared" si="34"/>
        <v>TD</v>
      </c>
      <c r="T31" s="144" t="str">
        <f t="shared" si="34"/>
        <v>WvD</v>
      </c>
      <c r="U31" s="144" t="str">
        <f t="shared" si="34"/>
        <v>CE</v>
      </c>
      <c r="V31" s="144" t="str">
        <f t="shared" si="34"/>
        <v>AF</v>
      </c>
      <c r="W31" s="144" t="str">
        <f t="shared" si="34"/>
        <v>WG</v>
      </c>
      <c r="X31" s="144" t="str">
        <f t="shared" si="34"/>
        <v>TG</v>
      </c>
      <c r="Y31" s="144" t="str">
        <f t="shared" si="34"/>
        <v>RH</v>
      </c>
      <c r="Z31" s="144" t="str">
        <f t="shared" si="34"/>
        <v>CH</v>
      </c>
      <c r="AA31" s="144" t="str">
        <f t="shared" si="34"/>
        <v>KH</v>
      </c>
      <c r="AB31" s="144" t="str">
        <f t="shared" si="34"/>
        <v>MH</v>
      </c>
      <c r="AC31" s="144" t="str">
        <f t="shared" si="34"/>
        <v>MK</v>
      </c>
      <c r="AD31" s="144" t="str">
        <f t="shared" si="34"/>
        <v>VL</v>
      </c>
      <c r="AE31" s="144" t="str">
        <f t="shared" si="34"/>
        <v>EM</v>
      </c>
      <c r="AF31" s="144" t="str">
        <f t="shared" si="34"/>
        <v>DM</v>
      </c>
      <c r="AG31" s="144" t="str">
        <f t="shared" si="34"/>
        <v>JM</v>
      </c>
      <c r="AH31" s="144" t="str">
        <f t="shared" si="34"/>
        <v>UM</v>
      </c>
      <c r="AI31" s="144" t="str">
        <f t="shared" si="34"/>
        <v>AO</v>
      </c>
      <c r="AJ31" s="144" t="str">
        <f t="shared" si="34"/>
        <v>JvP</v>
      </c>
      <c r="AK31" s="144" t="str">
        <f t="shared" si="34"/>
        <v>CR</v>
      </c>
      <c r="AL31" s="144" t="str">
        <f t="shared" si="34"/>
        <v>IR</v>
      </c>
      <c r="AM31" s="144" t="str">
        <f t="shared" si="34"/>
        <v>JS</v>
      </c>
      <c r="AN31" s="144" t="str">
        <f t="shared" si="34"/>
        <v>BS</v>
      </c>
      <c r="AO31" s="144" t="str">
        <f t="shared" si="34"/>
        <v>MS</v>
      </c>
      <c r="AP31" s="144" t="str">
        <f t="shared" si="34"/>
        <v>PV</v>
      </c>
      <c r="AQ31" s="144" t="str">
        <f t="shared" si="34"/>
        <v>DV</v>
      </c>
      <c r="AR31" s="144" t="str">
        <f t="shared" si="34"/>
        <v>JW</v>
      </c>
      <c r="AS31" s="144" t="str">
        <f t="shared" si="34"/>
        <v>AW</v>
      </c>
      <c r="AT31" s="139" t="str">
        <f t="shared" si="34"/>
        <v>CYPL</v>
      </c>
      <c r="AU31" s="139" t="str">
        <f>AU2</f>
        <v>JB/OBP</v>
      </c>
      <c r="AV31" s="139"/>
      <c r="AW31" s="139"/>
      <c r="AX31" s="139" t="str">
        <f>AX2</f>
        <v>XT/D4</v>
      </c>
      <c r="AY31" s="139"/>
      <c r="AZ31" s="139"/>
      <c r="BA31" s="139" t="str">
        <f>BA2</f>
        <v>CG/D4</v>
      </c>
      <c r="BB31" s="213" t="e">
        <f>#REF!</f>
        <v>#REF!</v>
      </c>
      <c r="BC31" s="139"/>
      <c r="BD31" s="139"/>
      <c r="BE31" s="139"/>
      <c r="BF31" s="139"/>
      <c r="BG31" s="139" t="str">
        <f t="shared" ref="BG31:BL31" si="35">BG2</f>
        <v>WS/D4</v>
      </c>
      <c r="BH31" s="139" t="str">
        <f t="shared" si="35"/>
        <v>KK/D4</v>
      </c>
      <c r="BI31" s="139"/>
      <c r="BJ31" s="139"/>
      <c r="BK31" s="139" t="str">
        <f t="shared" si="35"/>
        <v>JvZ/D4</v>
      </c>
      <c r="BL31" s="213" t="str">
        <f t="shared" si="35"/>
        <v>Total</v>
      </c>
      <c r="BM31" s="213"/>
      <c r="BN31" s="209"/>
    </row>
    <row r="32" spans="1:75" ht="13.8" hidden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179"/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79"/>
      <c r="BH32" s="179"/>
      <c r="BI32" s="179"/>
      <c r="BJ32" s="179"/>
      <c r="BK32" s="179"/>
      <c r="BL32" s="179"/>
      <c r="BM32" s="183"/>
      <c r="BN32" s="209"/>
    </row>
    <row r="33" spans="1:66" ht="13.8" hidden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179"/>
      <c r="AV33" s="179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79"/>
      <c r="BH33" s="179"/>
      <c r="BI33" s="179"/>
      <c r="BJ33" s="179"/>
      <c r="BK33" s="179"/>
      <c r="BL33" s="179"/>
      <c r="BM33" s="183"/>
      <c r="BN33" s="209"/>
    </row>
    <row r="34" spans="1:66" ht="13.8" hidden="1" x14ac:dyDescent="0.3">
      <c r="G34" s="21"/>
      <c r="I34" s="247"/>
      <c r="J34" s="21"/>
      <c r="K34" s="21"/>
      <c r="L34" s="248"/>
      <c r="M34" s="248"/>
      <c r="N34" s="21"/>
      <c r="AU34" s="179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179"/>
      <c r="BI34" s="179"/>
      <c r="BJ34" s="179"/>
      <c r="BK34" s="179"/>
      <c r="BL34" s="179"/>
      <c r="BM34" s="183"/>
      <c r="BN34" s="209"/>
    </row>
    <row r="35" spans="1:66" ht="13.8" x14ac:dyDescent="0.3">
      <c r="A35" s="103" t="s">
        <v>27</v>
      </c>
      <c r="G35" s="21"/>
      <c r="I35" s="247"/>
      <c r="J35" s="21"/>
      <c r="K35" s="21"/>
      <c r="L35" s="248"/>
      <c r="M35" s="248"/>
      <c r="N35" s="21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79"/>
      <c r="BH35" s="179"/>
      <c r="BI35" s="179"/>
      <c r="BJ35" s="179"/>
      <c r="BK35" s="179"/>
      <c r="BL35" s="179"/>
      <c r="BM35" s="183"/>
      <c r="BN35" s="209"/>
    </row>
    <row r="36" spans="1:66" ht="13.8" x14ac:dyDescent="0.3">
      <c r="A36" s="104" t="s">
        <v>0</v>
      </c>
      <c r="G36" s="21"/>
      <c r="I36" s="247"/>
      <c r="J36" s="21"/>
      <c r="K36" s="21"/>
      <c r="L36" s="248"/>
      <c r="M36" s="248"/>
      <c r="N36" s="21"/>
      <c r="AU36" s="179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79"/>
      <c r="BH36" s="179"/>
      <c r="BI36" s="179"/>
      <c r="BJ36" s="179"/>
      <c r="BK36" s="179"/>
      <c r="BL36" s="179"/>
      <c r="BM36" s="183"/>
      <c r="BN36" s="209"/>
    </row>
    <row r="37" spans="1:66" ht="13.8" x14ac:dyDescent="0.3">
      <c r="A37" s="105" t="s">
        <v>28</v>
      </c>
      <c r="G37" s="21"/>
      <c r="I37" s="247"/>
      <c r="J37" s="21"/>
      <c r="K37" s="21"/>
      <c r="L37" s="248"/>
      <c r="M37" s="248"/>
      <c r="N37" s="21"/>
      <c r="AU37" s="179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79"/>
      <c r="BH37" s="179"/>
      <c r="BI37" s="179"/>
      <c r="BJ37" s="179"/>
      <c r="BK37" s="179"/>
      <c r="BL37" s="179"/>
      <c r="BM37" s="183"/>
      <c r="BN37" s="209"/>
    </row>
    <row r="38" spans="1:66" ht="14.4" x14ac:dyDescent="0.3">
      <c r="G38" s="21"/>
      <c r="I38" s="247"/>
      <c r="J38" s="21"/>
      <c r="K38" s="21"/>
      <c r="L38" s="248"/>
      <c r="M38" s="248"/>
      <c r="N38" s="21"/>
      <c r="AU38" s="214"/>
      <c r="AV38" s="214"/>
      <c r="AW38" s="214"/>
      <c r="AX38" s="214"/>
      <c r="AY38" s="214"/>
      <c r="AZ38" s="214"/>
      <c r="BA38" s="214"/>
      <c r="BB38" s="179"/>
      <c r="BC38" s="214"/>
      <c r="BD38" s="214"/>
      <c r="BE38" s="214"/>
      <c r="BF38" s="214"/>
      <c r="BG38" s="214"/>
      <c r="BH38" s="179"/>
      <c r="BI38" s="179"/>
      <c r="BJ38" s="179"/>
      <c r="BK38" s="179"/>
      <c r="BL38" s="179"/>
      <c r="BM38" s="183"/>
      <c r="BN38" s="209"/>
    </row>
    <row r="39" spans="1:66" ht="13.8" x14ac:dyDescent="0.3">
      <c r="G39" s="21"/>
      <c r="I39" s="21"/>
      <c r="J39" s="21"/>
      <c r="K39" s="21"/>
      <c r="L39" s="248"/>
      <c r="M39" s="248"/>
      <c r="N39" s="21"/>
      <c r="AU39" s="179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79"/>
      <c r="BK39" s="179"/>
      <c r="BL39" s="179"/>
      <c r="BM39" s="183"/>
      <c r="BN39" s="209"/>
    </row>
    <row r="40" spans="1:66" ht="13.8" x14ac:dyDescent="0.3">
      <c r="G40" s="21"/>
      <c r="I40" s="21"/>
      <c r="J40" s="21"/>
      <c r="K40" s="21"/>
      <c r="L40" s="248"/>
      <c r="M40" s="248"/>
      <c r="N40" s="21"/>
      <c r="AU40" s="179"/>
      <c r="AV40" s="179"/>
      <c r="AW40" s="179"/>
      <c r="AX40" s="179"/>
      <c r="AY40" s="179"/>
      <c r="AZ40" s="179"/>
      <c r="BA40" s="179"/>
      <c r="BB40" s="179"/>
      <c r="BC40" s="179"/>
      <c r="BD40" s="179"/>
      <c r="BE40" s="179"/>
      <c r="BF40" s="179"/>
      <c r="BG40" s="179"/>
      <c r="BH40" s="179"/>
      <c r="BI40" s="179"/>
      <c r="BJ40" s="179"/>
      <c r="BK40" s="179"/>
      <c r="BL40" s="179"/>
      <c r="BM40" s="183"/>
      <c r="BN40" s="209"/>
    </row>
    <row r="41" spans="1:66" ht="13.8" x14ac:dyDescent="0.3">
      <c r="G41" s="21"/>
      <c r="I41" s="21"/>
      <c r="J41" s="21"/>
      <c r="K41" s="21"/>
      <c r="L41" s="248"/>
      <c r="M41" s="248"/>
      <c r="N41" s="21"/>
      <c r="AU41" s="179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79"/>
      <c r="BH41" s="179"/>
      <c r="BI41" s="179"/>
      <c r="BJ41" s="179"/>
      <c r="BK41" s="179"/>
      <c r="BL41" s="179"/>
      <c r="BM41" s="183"/>
      <c r="BN41" s="209"/>
    </row>
    <row r="42" spans="1:66" ht="13.8" x14ac:dyDescent="0.3">
      <c r="G42" s="21"/>
      <c r="I42" s="21"/>
      <c r="J42" s="21"/>
      <c r="K42" s="21"/>
      <c r="L42" s="248"/>
      <c r="M42" s="248"/>
      <c r="N42" s="21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79"/>
      <c r="BH42" s="179"/>
      <c r="BI42" s="179"/>
      <c r="BJ42" s="179"/>
      <c r="BK42" s="179"/>
      <c r="BL42" s="179"/>
      <c r="BM42" s="183"/>
      <c r="BN42" s="209"/>
    </row>
    <row r="43" spans="1:66" ht="13.8" x14ac:dyDescent="0.3">
      <c r="G43" s="21"/>
      <c r="I43" s="21"/>
      <c r="J43" s="21"/>
      <c r="K43" s="21"/>
      <c r="L43" s="248"/>
      <c r="M43" s="248"/>
      <c r="N43" s="21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79"/>
      <c r="BH43" s="179"/>
      <c r="BI43" s="179"/>
      <c r="BJ43" s="179"/>
      <c r="BK43" s="179"/>
      <c r="BL43" s="179"/>
      <c r="BM43" s="183"/>
      <c r="BN43" s="209"/>
    </row>
    <row r="44" spans="1:66" ht="13.8" x14ac:dyDescent="0.3">
      <c r="G44" s="21"/>
      <c r="I44" s="21"/>
      <c r="J44" s="21"/>
      <c r="K44" s="21"/>
      <c r="L44" s="248"/>
      <c r="M44" s="248"/>
      <c r="N44" s="21"/>
      <c r="AU44" s="179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79"/>
      <c r="BG44" s="179"/>
      <c r="BH44" s="179"/>
      <c r="BI44" s="179"/>
      <c r="BJ44" s="179"/>
      <c r="BK44" s="179"/>
      <c r="BL44" s="179"/>
      <c r="BM44" s="183"/>
      <c r="BN44" s="209"/>
    </row>
    <row r="45" spans="1:66" ht="13.8" x14ac:dyDescent="0.3">
      <c r="G45" s="21"/>
      <c r="I45" s="21"/>
      <c r="J45" s="21"/>
      <c r="K45" s="21"/>
      <c r="L45" s="248"/>
      <c r="M45" s="248"/>
      <c r="N45" s="21"/>
      <c r="AU45" s="179"/>
      <c r="AV45" s="179"/>
      <c r="AW45" s="179"/>
      <c r="AX45" s="179"/>
      <c r="AY45" s="179"/>
      <c r="AZ45" s="179"/>
      <c r="BA45" s="179"/>
      <c r="BB45" s="179"/>
      <c r="BC45" s="179"/>
      <c r="BD45" s="179"/>
      <c r="BE45" s="179"/>
      <c r="BF45" s="179"/>
      <c r="BG45" s="179"/>
      <c r="BH45" s="179"/>
      <c r="BI45" s="179"/>
      <c r="BJ45" s="179"/>
      <c r="BK45" s="179"/>
      <c r="BL45" s="179"/>
      <c r="BM45" s="183"/>
      <c r="BN45" s="209"/>
    </row>
    <row r="46" spans="1:66" ht="13.8" x14ac:dyDescent="0.3">
      <c r="G46" s="21"/>
      <c r="I46" s="21"/>
      <c r="J46" s="21"/>
      <c r="K46" s="21"/>
      <c r="L46" s="248"/>
      <c r="M46" s="248"/>
      <c r="N46" s="21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179"/>
      <c r="BM46" s="183"/>
      <c r="BN46" s="209"/>
    </row>
    <row r="47" spans="1:66" x14ac:dyDescent="0.2">
      <c r="G47" s="21"/>
      <c r="I47" s="21"/>
      <c r="J47" s="21"/>
      <c r="K47" s="21"/>
      <c r="L47" s="248"/>
      <c r="M47" s="248"/>
      <c r="N47" s="21"/>
      <c r="BB47" s="215"/>
      <c r="BL47" s="215"/>
      <c r="BM47" s="215"/>
      <c r="BN47" s="6"/>
    </row>
    <row r="48" spans="1:66" x14ac:dyDescent="0.2">
      <c r="G48" s="21"/>
      <c r="BN48" s="6"/>
    </row>
    <row r="49" spans="47:66" x14ac:dyDescent="0.2">
      <c r="BN49" s="6"/>
    </row>
    <row r="50" spans="47:66" x14ac:dyDescent="0.2">
      <c r="BN50" s="6"/>
    </row>
    <row r="51" spans="47:66" x14ac:dyDescent="0.2">
      <c r="BN51" s="6"/>
    </row>
    <row r="52" spans="47:66" x14ac:dyDescent="0.2">
      <c r="BN52" s="6"/>
    </row>
    <row r="53" spans="47:66" x14ac:dyDescent="0.2">
      <c r="BN53" s="158"/>
    </row>
    <row r="54" spans="47:66" x14ac:dyDescent="0.2">
      <c r="BN54" s="158"/>
    </row>
    <row r="55" spans="47:66" x14ac:dyDescent="0.2">
      <c r="BN55" s="158"/>
    </row>
    <row r="56" spans="47:66" x14ac:dyDescent="0.2">
      <c r="BN56" s="158"/>
    </row>
    <row r="57" spans="47:66" x14ac:dyDescent="0.2">
      <c r="BN57" s="158"/>
    </row>
    <row r="58" spans="47:66" x14ac:dyDescent="0.2">
      <c r="BN58" s="6"/>
    </row>
    <row r="59" spans="47:66" x14ac:dyDescent="0.2">
      <c r="BN59" s="6"/>
    </row>
    <row r="60" spans="47:66" x14ac:dyDescent="0.2"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N60" s="6"/>
    </row>
    <row r="61" spans="47:66" x14ac:dyDescent="0.2"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N61" s="6"/>
    </row>
    <row r="62" spans="47:66" x14ac:dyDescent="0.2">
      <c r="BN62" s="6"/>
    </row>
    <row r="63" spans="47:66" x14ac:dyDescent="0.2">
      <c r="BN63" s="6"/>
    </row>
    <row r="64" spans="47:66" x14ac:dyDescent="0.2">
      <c r="BN64" s="6"/>
    </row>
    <row r="65" spans="66:66" x14ac:dyDescent="0.2">
      <c r="BN65" s="6"/>
    </row>
    <row r="66" spans="66:66" x14ac:dyDescent="0.2">
      <c r="BN66" s="6"/>
    </row>
  </sheetData>
  <autoFilter ref="A3:BW3"/>
  <mergeCells count="1">
    <mergeCell ref="AU1:BK1"/>
  </mergeCells>
  <phoneticPr fontId="8" type="noConversion"/>
  <conditionalFormatting sqref="BN4">
    <cfRule type="containsText" dxfId="23" priority="5" operator="containsText" text="Oke">
      <formula>NOT(ISERROR(SEARCH("Oke",BN4)))</formula>
    </cfRule>
    <cfRule type="containsText" dxfId="22" priority="6" operator="containsText" text="Problem">
      <formula>NOT(ISERROR(SEARCH("Problem",BN4)))</formula>
    </cfRule>
    <cfRule type="colorScale" priority="7">
      <colorScale>
        <cfvo type="formula" val="$BN$4"/>
        <cfvo type="max"/>
        <color rgb="FF00B050"/>
        <color rgb="FFFF0000"/>
      </colorScale>
    </cfRule>
  </conditionalFormatting>
  <conditionalFormatting sqref="BN4:BN46">
    <cfRule type="containsText" dxfId="21" priority="3" operator="containsText" text="Oke">
      <formula>NOT(ISERROR(SEARCH("Oke",BN4)))</formula>
    </cfRule>
    <cfRule type="containsText" dxfId="20" priority="4" operator="containsText" text="Problem">
      <formula>NOT(ISERROR(SEARCH("Problem",BN4)))</formula>
    </cfRule>
  </conditionalFormatting>
  <conditionalFormatting sqref="BO4">
    <cfRule type="containsText" dxfId="19" priority="1" operator="containsText" text="Oke">
      <formula>NOT(ISERROR(SEARCH("Oke",BO4)))</formula>
    </cfRule>
    <cfRule type="containsText" dxfId="18" priority="2" operator="containsText" text="Problem">
      <formula>NOT(ISERROR(SEARCH("Problem",BO4)))</formula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N75"/>
  <sheetViews>
    <sheetView zoomScale="90" zoomScaleNormal="90" workbookViewId="0">
      <pane xSplit="12" topLeftCell="AH1" activePane="topRight" state="frozen"/>
      <selection pane="topRight" activeCell="AZ31" sqref="AZ31"/>
    </sheetView>
  </sheetViews>
  <sheetFormatPr defaultColWidth="8.88671875" defaultRowHeight="10.199999999999999" x14ac:dyDescent="0.2"/>
  <cols>
    <col min="1" max="1" width="9.5546875" style="1" customWidth="1"/>
    <col min="2" max="2" width="30.88671875" style="128" customWidth="1"/>
    <col min="3" max="3" width="10" style="1" customWidth="1"/>
    <col min="4" max="4" width="38.5546875" style="1" bestFit="1" customWidth="1"/>
    <col min="5" max="5" width="4.88671875" style="2" customWidth="1"/>
    <col min="6" max="6" width="4.44140625" style="1" customWidth="1"/>
    <col min="7" max="7" width="4.88671875" style="1" customWidth="1"/>
    <col min="8" max="8" width="6.44140625" style="1" customWidth="1"/>
    <col min="9" max="9" width="4.88671875" style="1" customWidth="1"/>
    <col min="10" max="10" width="4.5546875" style="1" customWidth="1"/>
    <col min="11" max="11" width="6.44140625" style="1" customWidth="1"/>
    <col min="12" max="13" width="8.44140625" style="3" customWidth="1"/>
    <col min="14" max="14" width="8.109375" style="1" customWidth="1"/>
    <col min="15" max="15" width="5" style="4" customWidth="1"/>
    <col min="16" max="16" width="4.6640625" style="4" customWidth="1"/>
    <col min="17" max="17" width="3.88671875" style="4" customWidth="1"/>
    <col min="18" max="18" width="4.88671875" style="4" customWidth="1"/>
    <col min="19" max="19" width="3.88671875" style="4" customWidth="1"/>
    <col min="20" max="20" width="5.33203125" style="4" customWidth="1"/>
    <col min="21" max="22" width="3.88671875" style="4" customWidth="1"/>
    <col min="23" max="23" width="4.44140625" style="4" customWidth="1"/>
    <col min="24" max="26" width="4" style="4" customWidth="1"/>
    <col min="27" max="27" width="4" style="5" customWidth="1"/>
    <col min="28" max="30" width="4.109375" style="4" customWidth="1"/>
    <col min="31" max="31" width="4" style="4" customWidth="1"/>
    <col min="32" max="32" width="4.109375" style="4" customWidth="1"/>
    <col min="33" max="33" width="3.88671875" style="4" customWidth="1"/>
    <col min="34" max="34" width="6.44140625" style="4" customWidth="1"/>
    <col min="35" max="35" width="4.109375" style="4" customWidth="1"/>
    <col min="36" max="36" width="4.5546875" style="4" customWidth="1"/>
    <col min="37" max="37" width="4" style="4" customWidth="1"/>
    <col min="38" max="38" width="3.109375" style="4" customWidth="1"/>
    <col min="39" max="39" width="3.5546875" style="5" customWidth="1"/>
    <col min="40" max="40" width="4" style="5" customWidth="1"/>
    <col min="41" max="41" width="4.109375" style="5" customWidth="1"/>
    <col min="42" max="43" width="4" style="5" customWidth="1"/>
    <col min="44" max="44" width="4" style="4" customWidth="1"/>
    <col min="45" max="45" width="4.33203125" style="4" customWidth="1"/>
    <col min="46" max="46" width="6.33203125" style="4" customWidth="1"/>
    <col min="47" max="47" width="8.33203125" style="5" bestFit="1" customWidth="1"/>
    <col min="48" max="48" width="7" style="5" bestFit="1" customWidth="1"/>
    <col min="49" max="49" width="8.5546875" style="5" bestFit="1" customWidth="1"/>
    <col min="50" max="50" width="6.88671875" style="5" bestFit="1" customWidth="1"/>
    <col min="51" max="51" width="8" style="5" bestFit="1" customWidth="1"/>
    <col min="52" max="52" width="8.6640625" style="5" bestFit="1" customWidth="1"/>
    <col min="53" max="54" width="6.6640625" style="5" bestFit="1" customWidth="1"/>
    <col min="55" max="56" width="7.5546875" style="5" bestFit="1" customWidth="1"/>
    <col min="57" max="57" width="6.88671875" style="5" bestFit="1" customWidth="1"/>
    <col min="58" max="58" width="8.109375" style="5" bestFit="1" customWidth="1"/>
    <col min="59" max="59" width="7.44140625" style="5" bestFit="1" customWidth="1"/>
    <col min="60" max="61" width="7.44140625" style="5" customWidth="1"/>
    <col min="62" max="62" width="7" style="5" bestFit="1" customWidth="1"/>
    <col min="63" max="63" width="8" style="5" bestFit="1" customWidth="1"/>
    <col min="64" max="64" width="7.6640625" style="4" bestFit="1" customWidth="1"/>
    <col min="65" max="65" width="9.109375" style="21" bestFit="1" customWidth="1"/>
    <col min="66" max="66" width="23.5546875" style="6" bestFit="1" customWidth="1"/>
    <col min="67" max="16384" width="8.88671875" style="6"/>
  </cols>
  <sheetData>
    <row r="1" spans="1:66" ht="12.75" customHeight="1" x14ac:dyDescent="0.2">
      <c r="A1" s="7" t="s">
        <v>98</v>
      </c>
      <c r="B1" s="129"/>
      <c r="C1" s="8"/>
      <c r="D1" s="8"/>
      <c r="E1" s="9"/>
      <c r="F1" s="8"/>
      <c r="G1" s="8"/>
      <c r="H1" s="10"/>
      <c r="I1" s="77"/>
      <c r="J1" s="81"/>
      <c r="K1" s="11" t="s">
        <v>16</v>
      </c>
      <c r="L1" s="11"/>
      <c r="M1" s="11"/>
      <c r="N1" s="12"/>
      <c r="O1" s="230"/>
      <c r="P1" s="219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33"/>
      <c r="AD1" s="133"/>
      <c r="AE1" s="193"/>
      <c r="AF1" s="133"/>
      <c r="AG1" s="193"/>
      <c r="AH1" s="193"/>
      <c r="AI1" s="193"/>
      <c r="AJ1" s="133"/>
      <c r="AK1" s="193"/>
      <c r="AL1" s="193"/>
      <c r="AM1" s="133"/>
      <c r="AN1" s="133"/>
      <c r="AO1" s="133"/>
      <c r="AP1" s="193"/>
      <c r="AQ1" s="193"/>
      <c r="AR1" s="193"/>
      <c r="AS1" s="193"/>
      <c r="AT1" s="133"/>
      <c r="AU1" s="334" t="s">
        <v>694</v>
      </c>
      <c r="AV1" s="334"/>
      <c r="AW1" s="334"/>
      <c r="AX1" s="334"/>
      <c r="AY1" s="334"/>
      <c r="AZ1" s="334"/>
      <c r="BA1" s="334"/>
      <c r="BB1" s="334"/>
      <c r="BC1" s="334"/>
      <c r="BD1" s="334"/>
      <c r="BE1" s="334"/>
      <c r="BF1" s="334"/>
      <c r="BG1" s="334"/>
      <c r="BH1" s="334"/>
      <c r="BI1" s="334"/>
      <c r="BJ1" s="334"/>
      <c r="BK1" s="257"/>
      <c r="BL1" s="261"/>
      <c r="BM1" s="6"/>
    </row>
    <row r="2" spans="1:66" ht="30.6" x14ac:dyDescent="0.2">
      <c r="A2" s="13" t="s">
        <v>82</v>
      </c>
      <c r="B2" s="130" t="s">
        <v>83</v>
      </c>
      <c r="C2" s="14" t="s">
        <v>611</v>
      </c>
      <c r="D2" s="14" t="s">
        <v>84</v>
      </c>
      <c r="E2" s="15" t="s">
        <v>32</v>
      </c>
      <c r="F2" s="16" t="s">
        <v>33</v>
      </c>
      <c r="G2" s="16" t="s">
        <v>33</v>
      </c>
      <c r="H2" s="17" t="s">
        <v>74</v>
      </c>
      <c r="I2" s="78" t="s">
        <v>55</v>
      </c>
      <c r="J2" s="164" t="s">
        <v>56</v>
      </c>
      <c r="K2" s="165" t="s">
        <v>43</v>
      </c>
      <c r="L2" s="166" t="s">
        <v>136</v>
      </c>
      <c r="M2" s="167" t="s">
        <v>137</v>
      </c>
      <c r="N2" s="168" t="s">
        <v>86</v>
      </c>
      <c r="O2" s="20" t="s">
        <v>79</v>
      </c>
      <c r="P2" s="16" t="s">
        <v>152</v>
      </c>
      <c r="Q2" s="16" t="s">
        <v>69</v>
      </c>
      <c r="R2" s="73" t="s">
        <v>145</v>
      </c>
      <c r="S2" s="16" t="s">
        <v>13</v>
      </c>
      <c r="T2" s="192" t="s">
        <v>14</v>
      </c>
      <c r="U2" s="16" t="s">
        <v>102</v>
      </c>
      <c r="V2" s="73" t="s">
        <v>129</v>
      </c>
      <c r="W2" s="16" t="s">
        <v>12</v>
      </c>
      <c r="X2" s="218" t="s">
        <v>33</v>
      </c>
      <c r="Y2" s="16" t="s">
        <v>76</v>
      </c>
      <c r="Z2" s="16" t="s">
        <v>146</v>
      </c>
      <c r="AA2" s="16" t="s">
        <v>63</v>
      </c>
      <c r="AB2" s="16" t="s">
        <v>78</v>
      </c>
      <c r="AC2" s="73" t="s">
        <v>133</v>
      </c>
      <c r="AD2" s="292" t="s">
        <v>128</v>
      </c>
      <c r="AE2" s="192" t="s">
        <v>156</v>
      </c>
      <c r="AF2" s="312" t="s">
        <v>158</v>
      </c>
      <c r="AG2" s="16" t="s">
        <v>70</v>
      </c>
      <c r="AH2" s="16" t="s">
        <v>77</v>
      </c>
      <c r="AI2" s="73" t="s">
        <v>157</v>
      </c>
      <c r="AJ2" s="73" t="s">
        <v>149</v>
      </c>
      <c r="AK2" s="73" t="s">
        <v>80</v>
      </c>
      <c r="AL2" s="16" t="s">
        <v>100</v>
      </c>
      <c r="AM2" s="218" t="s">
        <v>29</v>
      </c>
      <c r="AN2" s="16" t="s">
        <v>62</v>
      </c>
      <c r="AO2" s="16" t="s">
        <v>35</v>
      </c>
      <c r="AP2" s="16" t="s">
        <v>75</v>
      </c>
      <c r="AQ2" s="16" t="s">
        <v>127</v>
      </c>
      <c r="AR2" s="218" t="s">
        <v>147</v>
      </c>
      <c r="AS2" s="73" t="s">
        <v>101</v>
      </c>
      <c r="AT2" s="73" t="s">
        <v>148</v>
      </c>
      <c r="AU2" s="225" t="s">
        <v>679</v>
      </c>
      <c r="AV2" s="233" t="s">
        <v>680</v>
      </c>
      <c r="AW2" s="225" t="s">
        <v>681</v>
      </c>
      <c r="AX2" s="225" t="s">
        <v>722</v>
      </c>
      <c r="AY2" s="218" t="s">
        <v>682</v>
      </c>
      <c r="AZ2" s="225" t="s">
        <v>678</v>
      </c>
      <c r="BA2" s="233" t="s">
        <v>709</v>
      </c>
      <c r="BB2" s="225" t="s">
        <v>683</v>
      </c>
      <c r="BC2" s="225" t="s">
        <v>684</v>
      </c>
      <c r="BD2" s="225" t="s">
        <v>685</v>
      </c>
      <c r="BE2" s="218" t="s">
        <v>686</v>
      </c>
      <c r="BF2" s="256" t="s">
        <v>687</v>
      </c>
      <c r="BG2" s="256" t="s">
        <v>688</v>
      </c>
      <c r="BH2" s="256" t="s">
        <v>689</v>
      </c>
      <c r="BI2" s="256" t="s">
        <v>708</v>
      </c>
      <c r="BJ2" s="233" t="s">
        <v>690</v>
      </c>
      <c r="BK2" s="20" t="s">
        <v>81</v>
      </c>
      <c r="BL2" s="185" t="s">
        <v>693</v>
      </c>
      <c r="BM2" s="6"/>
    </row>
    <row r="3" spans="1:66" x14ac:dyDescent="0.2">
      <c r="A3" s="22"/>
      <c r="B3" s="131"/>
      <c r="C3" s="23"/>
      <c r="D3" s="23"/>
      <c r="E3" s="15"/>
      <c r="F3" s="16"/>
      <c r="G3" s="16"/>
      <c r="H3" s="17"/>
      <c r="I3" s="78"/>
      <c r="J3" s="82"/>
      <c r="K3" s="80"/>
      <c r="L3" s="18"/>
      <c r="M3" s="163"/>
      <c r="N3" s="19"/>
      <c r="O3" s="20"/>
      <c r="P3" s="20"/>
      <c r="Q3" s="20"/>
      <c r="R3" s="20"/>
      <c r="S3" s="20"/>
      <c r="T3" s="16"/>
      <c r="U3" s="16"/>
      <c r="V3" s="192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256"/>
      <c r="AV3" s="256"/>
      <c r="AW3" s="256"/>
      <c r="AX3" s="256"/>
      <c r="AY3" s="256"/>
      <c r="AZ3" s="256"/>
      <c r="BA3" s="256"/>
      <c r="BB3" s="256"/>
      <c r="BC3" s="256"/>
      <c r="BD3" s="256"/>
      <c r="BE3" s="256"/>
      <c r="BF3" s="256"/>
      <c r="BG3" s="256"/>
      <c r="BH3" s="256"/>
      <c r="BI3" s="256"/>
      <c r="BJ3" s="256"/>
      <c r="BK3" s="188"/>
      <c r="BL3" s="185"/>
      <c r="BM3" s="6"/>
    </row>
    <row r="4" spans="1:66" x14ac:dyDescent="0.2">
      <c r="A4" s="296" t="s">
        <v>275</v>
      </c>
      <c r="B4" s="297" t="s">
        <v>273</v>
      </c>
      <c r="C4" s="298" t="s">
        <v>27</v>
      </c>
      <c r="D4" s="298" t="s">
        <v>711</v>
      </c>
      <c r="E4" s="268"/>
      <c r="F4" s="24">
        <f>E4/12</f>
        <v>0</v>
      </c>
      <c r="G4" s="249">
        <f t="shared" ref="G4:G44" si="0">ROUNDUP(F4,0)</f>
        <v>0</v>
      </c>
      <c r="H4" s="101">
        <f t="shared" ref="H4:H44" si="1">IF(G4=0,0,E4/G4)</f>
        <v>0</v>
      </c>
      <c r="I4" s="271"/>
      <c r="J4" s="272"/>
      <c r="K4" s="273"/>
      <c r="L4" s="274"/>
      <c r="M4" s="275"/>
      <c r="N4" s="275"/>
      <c r="O4" s="276"/>
      <c r="P4" s="281"/>
      <c r="Q4" s="276"/>
      <c r="R4" s="278">
        <v>1</v>
      </c>
      <c r="S4" s="276"/>
      <c r="T4" s="211"/>
      <c r="U4" s="211"/>
      <c r="V4" s="282">
        <v>1</v>
      </c>
      <c r="W4" s="285"/>
      <c r="X4" s="282" t="s">
        <v>698</v>
      </c>
      <c r="Y4" s="283" t="s">
        <v>699</v>
      </c>
      <c r="Z4" s="211"/>
      <c r="AA4" s="282">
        <v>1</v>
      </c>
      <c r="AB4" s="211"/>
      <c r="AC4" s="211"/>
      <c r="AD4" s="211"/>
      <c r="AE4" s="282" t="s">
        <v>696</v>
      </c>
      <c r="AF4" s="211"/>
      <c r="AG4" s="282" t="s">
        <v>696</v>
      </c>
      <c r="AH4" s="211"/>
      <c r="AI4" s="211"/>
      <c r="AJ4" s="211"/>
      <c r="AK4" s="282">
        <v>1</v>
      </c>
      <c r="AL4" s="285"/>
      <c r="AM4" s="285"/>
      <c r="AN4" s="211"/>
      <c r="AO4" s="211"/>
      <c r="AP4" s="283" t="s">
        <v>696</v>
      </c>
      <c r="AQ4" s="211"/>
      <c r="AR4" s="283" t="s">
        <v>696</v>
      </c>
      <c r="AS4" s="282" t="s">
        <v>696</v>
      </c>
      <c r="AT4" s="282">
        <v>1</v>
      </c>
      <c r="AU4" s="211"/>
      <c r="AV4" s="211"/>
      <c r="AW4" s="211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1"/>
      <c r="BJ4" s="285"/>
      <c r="BK4" s="277"/>
      <c r="BL4" s="277"/>
      <c r="BM4" s="6"/>
    </row>
    <row r="5" spans="1:66" ht="12.75" customHeight="1" x14ac:dyDescent="0.3">
      <c r="A5" s="294" t="s">
        <v>159</v>
      </c>
      <c r="B5" s="294" t="s">
        <v>160</v>
      </c>
      <c r="C5" s="294" t="s">
        <v>27</v>
      </c>
      <c r="D5" s="294" t="s">
        <v>161</v>
      </c>
      <c r="E5" s="208"/>
      <c r="F5" s="24">
        <f>E5/12</f>
        <v>0</v>
      </c>
      <c r="G5" s="249">
        <f t="shared" si="0"/>
        <v>0</v>
      </c>
      <c r="H5" s="101">
        <f t="shared" si="1"/>
        <v>0</v>
      </c>
      <c r="I5" s="79"/>
      <c r="J5" s="226">
        <f>I5*2*normuren!$B$26</f>
        <v>0</v>
      </c>
      <c r="K5" s="227">
        <f>IF(G5&lt;3,normuren!$B$8,IF(AND(G5&lt;6,G5&gt;2),normuren!$B$9,IF(AND(G5&lt;9,G5&gt;5),normuren!$B$10,normuren!$B$11)))</f>
        <v>15</v>
      </c>
      <c r="L5" s="228">
        <f>normuren!$B$24*2*12</f>
        <v>36</v>
      </c>
      <c r="M5" s="228">
        <f>normuren!$B$25*2*12</f>
        <v>45.599999999999994</v>
      </c>
      <c r="N5" s="250">
        <f>normuren!$B$29</f>
        <v>1.5</v>
      </c>
      <c r="O5" s="115"/>
      <c r="P5" s="286"/>
      <c r="Q5" s="119"/>
      <c r="R5" s="119"/>
      <c r="S5" s="119"/>
      <c r="T5" s="119"/>
      <c r="U5" s="115"/>
      <c r="V5" s="286" t="s">
        <v>695</v>
      </c>
      <c r="W5" s="286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286"/>
      <c r="AM5" s="286"/>
      <c r="AN5" s="115"/>
      <c r="AO5" s="288">
        <v>2</v>
      </c>
      <c r="AP5" s="115"/>
      <c r="AQ5" s="115"/>
      <c r="AR5" s="286"/>
      <c r="AS5" s="115"/>
      <c r="AT5" s="115"/>
      <c r="AU5" s="115"/>
      <c r="AV5" s="115"/>
      <c r="AW5" s="115"/>
      <c r="AX5" s="115"/>
      <c r="AY5" s="115"/>
      <c r="AZ5" s="288" t="s">
        <v>696</v>
      </c>
      <c r="BA5" s="115"/>
      <c r="BB5" s="115"/>
      <c r="BC5" s="115"/>
      <c r="BD5" s="115"/>
      <c r="BE5" s="115"/>
      <c r="BF5" s="115"/>
      <c r="BG5" s="115"/>
      <c r="BH5" s="115"/>
      <c r="BI5" s="286" t="s">
        <v>695</v>
      </c>
      <c r="BJ5" s="286"/>
      <c r="BK5" s="224">
        <f t="shared" ref="BK5:BK36" si="2">SUM(O5:BJ5)</f>
        <v>2</v>
      </c>
      <c r="BL5" s="224">
        <f t="shared" ref="BL5:BL36" si="3">G5-BK5</f>
        <v>-2</v>
      </c>
      <c r="BM5" s="209" t="str">
        <f t="shared" ref="BM5:BM44" si="4">IF(BL5&gt;0,"Problem","Oke")</f>
        <v>Oke</v>
      </c>
      <c r="BN5" s="209" t="s">
        <v>712</v>
      </c>
    </row>
    <row r="6" spans="1:66" ht="12.75" customHeight="1" x14ac:dyDescent="0.3">
      <c r="A6" s="294" t="s">
        <v>162</v>
      </c>
      <c r="B6" s="294" t="s">
        <v>163</v>
      </c>
      <c r="C6" s="294" t="s">
        <v>27</v>
      </c>
      <c r="D6" s="299" t="s">
        <v>164</v>
      </c>
      <c r="E6" s="208"/>
      <c r="F6" s="24">
        <f t="shared" ref="F6:F15" si="5">E6/12</f>
        <v>0</v>
      </c>
      <c r="G6" s="249">
        <f t="shared" si="0"/>
        <v>0</v>
      </c>
      <c r="H6" s="101">
        <f t="shared" si="1"/>
        <v>0</v>
      </c>
      <c r="I6" s="79"/>
      <c r="J6" s="226">
        <f>I6*2*normuren!$B$26</f>
        <v>0</v>
      </c>
      <c r="K6" s="227">
        <f>IF(G6&lt;3,normuren!$B$8,IF(AND(G6&lt;6,G6&gt;2),normuren!$B$9,IF(AND(G6&lt;9,G6&gt;5),normuren!$B$10,normuren!$B$11)))</f>
        <v>15</v>
      </c>
      <c r="L6" s="228">
        <f>normuren!$B$24*2*12</f>
        <v>36</v>
      </c>
      <c r="M6" s="228">
        <f>normuren!$B$25*2*12</f>
        <v>45.599999999999994</v>
      </c>
      <c r="N6" s="250">
        <f>normuren!$B$29</f>
        <v>1.5</v>
      </c>
      <c r="O6" s="288" t="s">
        <v>696</v>
      </c>
      <c r="P6" s="286"/>
      <c r="Q6" s="119"/>
      <c r="R6" s="119"/>
      <c r="S6" s="119"/>
      <c r="T6" s="119"/>
      <c r="U6" s="115"/>
      <c r="V6" s="115"/>
      <c r="W6" s="286"/>
      <c r="X6" s="288" t="s">
        <v>696</v>
      </c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286"/>
      <c r="AM6" s="286"/>
      <c r="AN6" s="115"/>
      <c r="AO6" s="115"/>
      <c r="AP6" s="115"/>
      <c r="AQ6" s="115"/>
      <c r="AR6" s="286"/>
      <c r="AS6" s="115"/>
      <c r="AT6" s="115"/>
      <c r="AU6" s="288">
        <v>3</v>
      </c>
      <c r="AV6" s="115"/>
      <c r="AW6" s="115"/>
      <c r="AX6" s="288">
        <v>3</v>
      </c>
      <c r="AY6" s="115"/>
      <c r="AZ6" s="115"/>
      <c r="BA6" s="288" t="s">
        <v>696</v>
      </c>
      <c r="BB6" s="288">
        <v>3</v>
      </c>
      <c r="BC6" s="115"/>
      <c r="BD6" s="286" t="s">
        <v>695</v>
      </c>
      <c r="BE6" s="115"/>
      <c r="BF6" s="115"/>
      <c r="BG6" s="115"/>
      <c r="BH6" s="115"/>
      <c r="BI6" s="288" t="s">
        <v>696</v>
      </c>
      <c r="BJ6" s="286"/>
      <c r="BK6" s="224">
        <f t="shared" si="2"/>
        <v>9</v>
      </c>
      <c r="BL6" s="224">
        <f t="shared" si="3"/>
        <v>-9</v>
      </c>
      <c r="BM6" s="209" t="str">
        <f t="shared" si="4"/>
        <v>Oke</v>
      </c>
      <c r="BN6" s="311"/>
    </row>
    <row r="7" spans="1:66" ht="12.75" customHeight="1" x14ac:dyDescent="0.3">
      <c r="A7" s="203" t="s">
        <v>405</v>
      </c>
      <c r="B7" s="203" t="s">
        <v>406</v>
      </c>
      <c r="C7" s="203" t="s">
        <v>245</v>
      </c>
      <c r="D7" s="203" t="s">
        <v>457</v>
      </c>
      <c r="E7" s="208"/>
      <c r="F7" s="24">
        <f t="shared" si="5"/>
        <v>0</v>
      </c>
      <c r="G7" s="249">
        <f t="shared" si="0"/>
        <v>0</v>
      </c>
      <c r="H7" s="101">
        <f t="shared" si="1"/>
        <v>0</v>
      </c>
      <c r="I7" s="79"/>
      <c r="J7" s="226">
        <f>I7*2*normuren!$B$26</f>
        <v>0</v>
      </c>
      <c r="K7" s="227">
        <f>IF(G7&lt;3,normuren!$B$8,IF(AND(G7&lt;6,G7&gt;2),normuren!$B$9,IF(AND(G7&lt;9,G7&gt;5),normuren!$B$10,normuren!$B$11)))</f>
        <v>15</v>
      </c>
      <c r="L7" s="228">
        <f>normuren!$B$24*2*12</f>
        <v>36</v>
      </c>
      <c r="M7" s="228">
        <f>normuren!$B$25*2*12</f>
        <v>45.599999999999994</v>
      </c>
      <c r="N7" s="250">
        <f>normuren!$B$29</f>
        <v>1.5</v>
      </c>
      <c r="O7" s="115" t="s">
        <v>696</v>
      </c>
      <c r="P7" s="286"/>
      <c r="Q7" s="119"/>
      <c r="R7" s="119"/>
      <c r="S7" s="119"/>
      <c r="T7" s="119"/>
      <c r="U7" s="115"/>
      <c r="V7" s="115"/>
      <c r="W7" s="286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286"/>
      <c r="AM7" s="286"/>
      <c r="AN7" s="115"/>
      <c r="AO7" s="115"/>
      <c r="AP7" s="115"/>
      <c r="AQ7" s="115"/>
      <c r="AR7" s="286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308"/>
      <c r="BK7" s="224">
        <f t="shared" si="2"/>
        <v>0</v>
      </c>
      <c r="BL7" s="224">
        <f t="shared" si="3"/>
        <v>0</v>
      </c>
      <c r="BM7" s="209" t="str">
        <f t="shared" si="4"/>
        <v>Oke</v>
      </c>
    </row>
    <row r="8" spans="1:66" ht="12.75" customHeight="1" x14ac:dyDescent="0.3">
      <c r="A8" s="203" t="s">
        <v>407</v>
      </c>
      <c r="B8" s="203" t="s">
        <v>408</v>
      </c>
      <c r="C8" s="203" t="s">
        <v>245</v>
      </c>
      <c r="D8" s="203" t="s">
        <v>171</v>
      </c>
      <c r="E8" s="208"/>
      <c r="F8" s="24">
        <f t="shared" si="5"/>
        <v>0</v>
      </c>
      <c r="G8" s="249">
        <f t="shared" si="0"/>
        <v>0</v>
      </c>
      <c r="H8" s="101">
        <f t="shared" si="1"/>
        <v>0</v>
      </c>
      <c r="I8" s="79"/>
      <c r="J8" s="226">
        <f>I8*2*normuren!$B$26</f>
        <v>0</v>
      </c>
      <c r="K8" s="227">
        <f>IF(G8&lt;3,normuren!$B$8,IF(AND(G8&lt;6,G8&gt;2),normuren!$B$9,IF(AND(G8&lt;9,G8&gt;5),normuren!$B$10,normuren!$B$11)))</f>
        <v>15</v>
      </c>
      <c r="L8" s="228">
        <f>normuren!$B$24*2*12</f>
        <v>36</v>
      </c>
      <c r="M8" s="228">
        <f>normuren!$B$25*2*12</f>
        <v>45.599999999999994</v>
      </c>
      <c r="N8" s="250">
        <f>normuren!$B$29</f>
        <v>1.5</v>
      </c>
      <c r="O8" s="115"/>
      <c r="P8" s="286"/>
      <c r="Q8" s="119"/>
      <c r="R8" s="119"/>
      <c r="S8" s="119"/>
      <c r="T8" s="119"/>
      <c r="U8" s="115"/>
      <c r="V8" s="115"/>
      <c r="W8" s="287"/>
      <c r="X8" s="173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286"/>
      <c r="AM8" s="286"/>
      <c r="AN8" s="115"/>
      <c r="AO8" s="115"/>
      <c r="AP8" s="115"/>
      <c r="AQ8" s="115"/>
      <c r="AR8" s="287"/>
      <c r="AS8" s="115"/>
      <c r="AT8" s="115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15"/>
      <c r="BG8" s="115"/>
      <c r="BH8" s="115"/>
      <c r="BI8" s="115"/>
      <c r="BJ8" s="286"/>
      <c r="BK8" s="224">
        <f t="shared" si="2"/>
        <v>0</v>
      </c>
      <c r="BL8" s="224">
        <f t="shared" si="3"/>
        <v>0</v>
      </c>
      <c r="BM8" s="209" t="str">
        <f t="shared" si="4"/>
        <v>Oke</v>
      </c>
    </row>
    <row r="9" spans="1:66" ht="12.75" customHeight="1" x14ac:dyDescent="0.3">
      <c r="A9" s="301" t="s">
        <v>409</v>
      </c>
      <c r="B9" s="301" t="s">
        <v>410</v>
      </c>
      <c r="C9" s="301" t="s">
        <v>27</v>
      </c>
      <c r="D9" s="301" t="s">
        <v>458</v>
      </c>
      <c r="E9" s="208"/>
      <c r="F9" s="24">
        <f t="shared" si="5"/>
        <v>0</v>
      </c>
      <c r="G9" s="249">
        <f t="shared" si="0"/>
        <v>0</v>
      </c>
      <c r="H9" s="101">
        <f t="shared" si="1"/>
        <v>0</v>
      </c>
      <c r="I9" s="79"/>
      <c r="J9" s="226">
        <f>I9*2*normuren!$B$26</f>
        <v>0</v>
      </c>
      <c r="K9" s="227">
        <f>IF(G9&lt;3,normuren!$B$8,IF(AND(G9&lt;6,G9&gt;2),normuren!$B$9,IF(AND(G9&lt;9,G9&gt;5),normuren!$B$10,normuren!$B$11)))</f>
        <v>15</v>
      </c>
      <c r="L9" s="228">
        <f>normuren!$B$24*2*12</f>
        <v>36</v>
      </c>
      <c r="M9" s="228">
        <f>normuren!$B$25*2*12</f>
        <v>45.599999999999994</v>
      </c>
      <c r="N9" s="250">
        <f>normuren!$B$29</f>
        <v>1.5</v>
      </c>
      <c r="O9" s="115"/>
      <c r="P9" s="286"/>
      <c r="Q9" s="119"/>
      <c r="R9" s="119"/>
      <c r="S9" s="119"/>
      <c r="T9" s="119"/>
      <c r="U9" s="115"/>
      <c r="V9" s="115"/>
      <c r="W9" s="286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288">
        <v>2</v>
      </c>
      <c r="AL9" s="286"/>
      <c r="AM9" s="286"/>
      <c r="AN9" s="115"/>
      <c r="AO9" s="115"/>
      <c r="AP9" s="115"/>
      <c r="AQ9" s="115"/>
      <c r="AR9" s="286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288">
        <v>2</v>
      </c>
      <c r="BE9" s="115"/>
      <c r="BF9" s="115"/>
      <c r="BG9" s="115"/>
      <c r="BH9" s="115"/>
      <c r="BI9" s="115"/>
      <c r="BJ9" s="286"/>
      <c r="BK9" s="224">
        <f t="shared" si="2"/>
        <v>4</v>
      </c>
      <c r="BL9" s="224">
        <f t="shared" si="3"/>
        <v>-4</v>
      </c>
      <c r="BM9" s="209" t="str">
        <f t="shared" si="4"/>
        <v>Oke</v>
      </c>
    </row>
    <row r="10" spans="1:66" ht="12.75" customHeight="1" x14ac:dyDescent="0.3">
      <c r="A10" s="203" t="s">
        <v>480</v>
      </c>
      <c r="B10" s="203" t="s">
        <v>411</v>
      </c>
      <c r="C10" s="203" t="s">
        <v>245</v>
      </c>
      <c r="D10" s="203" t="s">
        <v>605</v>
      </c>
      <c r="E10" s="208"/>
      <c r="F10" s="24">
        <f t="shared" si="5"/>
        <v>0</v>
      </c>
      <c r="G10" s="249">
        <f t="shared" si="0"/>
        <v>0</v>
      </c>
      <c r="H10" s="101">
        <f t="shared" si="1"/>
        <v>0</v>
      </c>
      <c r="I10" s="79"/>
      <c r="J10" s="226">
        <f>I10*2*normuren!$B$26</f>
        <v>0</v>
      </c>
      <c r="K10" s="227">
        <f>IF(G10&lt;3,normuren!$B$8,IF(AND(G10&lt;6,G10&gt;2),normuren!$B$9,IF(AND(G10&lt;9,G10&gt;5),normuren!$B$10,normuren!$B$11)))</f>
        <v>15</v>
      </c>
      <c r="L10" s="228">
        <f>normuren!$B$24*2*12</f>
        <v>36</v>
      </c>
      <c r="M10" s="228">
        <f>normuren!$B$25*2*12</f>
        <v>45.599999999999994</v>
      </c>
      <c r="N10" s="250">
        <f>normuren!$B$29</f>
        <v>1.5</v>
      </c>
      <c r="O10" s="115"/>
      <c r="P10" s="286"/>
      <c r="Q10" s="119"/>
      <c r="R10" s="119"/>
      <c r="S10" s="119"/>
      <c r="T10" s="119"/>
      <c r="U10" s="115"/>
      <c r="V10" s="115"/>
      <c r="W10" s="286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286"/>
      <c r="AM10" s="286"/>
      <c r="AN10" s="115"/>
      <c r="AO10" s="115"/>
      <c r="AP10" s="115"/>
      <c r="AQ10" s="115"/>
      <c r="AR10" s="286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286"/>
      <c r="BK10" s="224">
        <f t="shared" si="2"/>
        <v>0</v>
      </c>
      <c r="BL10" s="224">
        <f t="shared" si="3"/>
        <v>0</v>
      </c>
      <c r="BM10" s="209" t="str">
        <f t="shared" si="4"/>
        <v>Oke</v>
      </c>
    </row>
    <row r="11" spans="1:66" ht="12.75" customHeight="1" x14ac:dyDescent="0.3">
      <c r="A11" s="203" t="s">
        <v>481</v>
      </c>
      <c r="B11" s="203" t="s">
        <v>632</v>
      </c>
      <c r="C11" s="203" t="s">
        <v>245</v>
      </c>
      <c r="D11" s="203" t="s">
        <v>633</v>
      </c>
      <c r="E11" s="208"/>
      <c r="F11" s="24">
        <f t="shared" si="5"/>
        <v>0</v>
      </c>
      <c r="G11" s="249">
        <f t="shared" si="0"/>
        <v>0</v>
      </c>
      <c r="H11" s="101">
        <f t="shared" si="1"/>
        <v>0</v>
      </c>
      <c r="I11" s="79"/>
      <c r="J11" s="226">
        <f>I11*2*normuren!$B$26</f>
        <v>0</v>
      </c>
      <c r="K11" s="227">
        <f>IF(G11&lt;3,normuren!$B$8,IF(AND(G11&lt;6,G11&gt;2),normuren!$B$9,IF(AND(G11&lt;9,G11&gt;5),normuren!$B$10,normuren!$B$11)))</f>
        <v>15</v>
      </c>
      <c r="L11" s="228">
        <f>normuren!$B$24*2*12</f>
        <v>36</v>
      </c>
      <c r="M11" s="228">
        <f>normuren!$B$25*2*12</f>
        <v>45.599999999999994</v>
      </c>
      <c r="N11" s="250">
        <f>normuren!$B$29</f>
        <v>1.5</v>
      </c>
      <c r="O11" s="115"/>
      <c r="P11" s="286"/>
      <c r="Q11" s="119"/>
      <c r="R11" s="119"/>
      <c r="S11" s="119"/>
      <c r="T11" s="119"/>
      <c r="U11" s="115"/>
      <c r="V11" s="115"/>
      <c r="W11" s="286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286"/>
      <c r="AM11" s="286"/>
      <c r="AN11" s="115"/>
      <c r="AO11" s="115"/>
      <c r="AP11" s="115"/>
      <c r="AQ11" s="115"/>
      <c r="AR11" s="286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286"/>
      <c r="BK11" s="224">
        <f t="shared" si="2"/>
        <v>0</v>
      </c>
      <c r="BL11" s="224">
        <f t="shared" si="3"/>
        <v>0</v>
      </c>
      <c r="BM11" s="209" t="str">
        <f t="shared" si="4"/>
        <v>Oke</v>
      </c>
    </row>
    <row r="12" spans="1:66" ht="12.75" customHeight="1" x14ac:dyDescent="0.3">
      <c r="A12" s="203" t="s">
        <v>413</v>
      </c>
      <c r="B12" s="203" t="s">
        <v>414</v>
      </c>
      <c r="C12" s="203" t="s">
        <v>245</v>
      </c>
      <c r="D12" s="203" t="s">
        <v>185</v>
      </c>
      <c r="E12" s="208"/>
      <c r="F12" s="24">
        <f t="shared" si="5"/>
        <v>0</v>
      </c>
      <c r="G12" s="249">
        <f t="shared" si="0"/>
        <v>0</v>
      </c>
      <c r="H12" s="101">
        <f t="shared" si="1"/>
        <v>0</v>
      </c>
      <c r="I12" s="79"/>
      <c r="J12" s="226">
        <f>I12*2*normuren!$B$26</f>
        <v>0</v>
      </c>
      <c r="K12" s="227">
        <f>IF(G12&lt;3,normuren!$B$8,IF(AND(G12&lt;6,G12&gt;2),normuren!$B$9,IF(AND(G12&lt;9,G12&gt;5),normuren!$B$10,normuren!$B$11)))</f>
        <v>15</v>
      </c>
      <c r="L12" s="228">
        <f>normuren!$B$24*2*12</f>
        <v>36</v>
      </c>
      <c r="M12" s="228">
        <f>normuren!$B$25*2*12</f>
        <v>45.599999999999994</v>
      </c>
      <c r="N12" s="250">
        <f>normuren!$B$29</f>
        <v>1.5</v>
      </c>
      <c r="O12" s="115"/>
      <c r="P12" s="286"/>
      <c r="Q12" s="119"/>
      <c r="R12" s="119"/>
      <c r="S12" s="119"/>
      <c r="T12" s="119"/>
      <c r="U12" s="115"/>
      <c r="V12" s="115"/>
      <c r="W12" s="286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286"/>
      <c r="AM12" s="286"/>
      <c r="AN12" s="115"/>
      <c r="AO12" s="115"/>
      <c r="AP12" s="115"/>
      <c r="AQ12" s="115"/>
      <c r="AR12" s="286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286"/>
      <c r="BK12" s="224">
        <f t="shared" si="2"/>
        <v>0</v>
      </c>
      <c r="BL12" s="224">
        <f t="shared" si="3"/>
        <v>0</v>
      </c>
      <c r="BM12" s="209" t="str">
        <f t="shared" si="4"/>
        <v>Oke</v>
      </c>
    </row>
    <row r="13" spans="1:66" ht="12.75" customHeight="1" x14ac:dyDescent="0.3">
      <c r="A13" s="203" t="s">
        <v>415</v>
      </c>
      <c r="B13" s="203" t="s">
        <v>416</v>
      </c>
      <c r="C13" s="203" t="s">
        <v>245</v>
      </c>
      <c r="D13" s="203" t="s">
        <v>604</v>
      </c>
      <c r="E13" s="208"/>
      <c r="F13" s="24">
        <f t="shared" si="5"/>
        <v>0</v>
      </c>
      <c r="G13" s="249">
        <f t="shared" si="0"/>
        <v>0</v>
      </c>
      <c r="H13" s="101">
        <f t="shared" si="1"/>
        <v>0</v>
      </c>
      <c r="I13" s="79"/>
      <c r="J13" s="226">
        <f>I13*2*normuren!$B$26</f>
        <v>0</v>
      </c>
      <c r="K13" s="227">
        <f>IF(G13&lt;3,normuren!$B$8,IF(AND(G13&lt;6,G13&gt;2),normuren!$B$9,IF(AND(G13&lt;9,G13&gt;5),normuren!$B$10,normuren!$B$11)))</f>
        <v>15</v>
      </c>
      <c r="L13" s="228">
        <f>normuren!$B$24*2*12</f>
        <v>36</v>
      </c>
      <c r="M13" s="228">
        <f>normuren!$B$25*2*12</f>
        <v>45.599999999999994</v>
      </c>
      <c r="N13" s="250">
        <f>normuren!$B$29</f>
        <v>1.5</v>
      </c>
      <c r="O13" s="115" t="s">
        <v>696</v>
      </c>
      <c r="P13" s="286"/>
      <c r="Q13" s="119"/>
      <c r="R13" s="119"/>
      <c r="S13" s="119"/>
      <c r="T13" s="119"/>
      <c r="U13" s="115"/>
      <c r="V13" s="115"/>
      <c r="W13" s="286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286"/>
      <c r="AM13" s="286"/>
      <c r="AN13" s="115"/>
      <c r="AO13" s="115"/>
      <c r="AP13" s="115"/>
      <c r="AQ13" s="115"/>
      <c r="AR13" s="286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286"/>
      <c r="BK13" s="224">
        <f t="shared" si="2"/>
        <v>0</v>
      </c>
      <c r="BL13" s="224">
        <f t="shared" si="3"/>
        <v>0</v>
      </c>
      <c r="BM13" s="209" t="str">
        <f t="shared" si="4"/>
        <v>Oke</v>
      </c>
    </row>
    <row r="14" spans="1:66" ht="12.75" customHeight="1" x14ac:dyDescent="0.3">
      <c r="A14" s="203" t="s">
        <v>417</v>
      </c>
      <c r="B14" s="206" t="s">
        <v>674</v>
      </c>
      <c r="C14" s="203" t="s">
        <v>245</v>
      </c>
      <c r="D14" s="203" t="s">
        <v>634</v>
      </c>
      <c r="E14" s="208"/>
      <c r="F14" s="24">
        <f t="shared" si="5"/>
        <v>0</v>
      </c>
      <c r="G14" s="249">
        <f t="shared" si="0"/>
        <v>0</v>
      </c>
      <c r="H14" s="101">
        <f t="shared" si="1"/>
        <v>0</v>
      </c>
      <c r="I14" s="79"/>
      <c r="J14" s="226">
        <f>I14*2*normuren!$B$26</f>
        <v>0</v>
      </c>
      <c r="K14" s="227">
        <f>IF(G14&lt;3,normuren!$B$8,IF(AND(G14&lt;6,G14&gt;2),normuren!$B$9,IF(AND(G14&lt;9,G14&gt;5),normuren!$B$10,normuren!$B$11)))</f>
        <v>15</v>
      </c>
      <c r="L14" s="228">
        <f>normuren!$B$24*2*12</f>
        <v>36</v>
      </c>
      <c r="M14" s="228">
        <f>normuren!$B$25*2*12</f>
        <v>45.599999999999994</v>
      </c>
      <c r="N14" s="250">
        <f>normuren!$B$29</f>
        <v>1.5</v>
      </c>
      <c r="O14" s="115"/>
      <c r="P14" s="286"/>
      <c r="Q14" s="119"/>
      <c r="R14" s="119"/>
      <c r="S14" s="119"/>
      <c r="T14" s="119"/>
      <c r="U14" s="115"/>
      <c r="V14" s="115"/>
      <c r="W14" s="286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286"/>
      <c r="AM14" s="286"/>
      <c r="AN14" s="115"/>
      <c r="AO14" s="115"/>
      <c r="AP14" s="115"/>
      <c r="AQ14" s="115"/>
      <c r="AR14" s="286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286"/>
      <c r="BK14" s="224">
        <f t="shared" si="2"/>
        <v>0</v>
      </c>
      <c r="BL14" s="224">
        <f t="shared" si="3"/>
        <v>0</v>
      </c>
      <c r="BM14" s="209" t="str">
        <f t="shared" si="4"/>
        <v>Oke</v>
      </c>
    </row>
    <row r="15" spans="1:66" ht="12.75" customHeight="1" x14ac:dyDescent="0.3">
      <c r="A15" s="203" t="s">
        <v>482</v>
      </c>
      <c r="B15" s="203" t="s">
        <v>418</v>
      </c>
      <c r="C15" s="203" t="s">
        <v>245</v>
      </c>
      <c r="D15" s="203" t="s">
        <v>187</v>
      </c>
      <c r="E15" s="208"/>
      <c r="F15" s="24">
        <f t="shared" si="5"/>
        <v>0</v>
      </c>
      <c r="G15" s="249">
        <f t="shared" si="0"/>
        <v>0</v>
      </c>
      <c r="H15" s="101">
        <f t="shared" si="1"/>
        <v>0</v>
      </c>
      <c r="I15" s="79"/>
      <c r="J15" s="226">
        <f>I15*2*normuren!$B$26</f>
        <v>0</v>
      </c>
      <c r="K15" s="227">
        <f>IF(G15&lt;3,normuren!$B$8,IF(AND(G15&lt;6,G15&gt;2),normuren!$B$9,IF(AND(G15&lt;9,G15&gt;5),normuren!$B$10,normuren!$B$11)))</f>
        <v>15</v>
      </c>
      <c r="L15" s="228">
        <f>normuren!$B$27</f>
        <v>20</v>
      </c>
      <c r="M15" s="228">
        <v>20</v>
      </c>
      <c r="N15" s="250">
        <f>normuren!$B$29</f>
        <v>1.5</v>
      </c>
      <c r="O15" s="115"/>
      <c r="P15" s="286"/>
      <c r="Q15" s="119"/>
      <c r="R15" s="119"/>
      <c r="S15" s="119"/>
      <c r="T15" s="119"/>
      <c r="U15" s="115"/>
      <c r="V15" s="286" t="s">
        <v>695</v>
      </c>
      <c r="W15" s="286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286"/>
      <c r="AM15" s="286"/>
      <c r="AN15" s="115"/>
      <c r="AO15" s="115"/>
      <c r="AP15" s="115"/>
      <c r="AQ15" s="115"/>
      <c r="AR15" s="286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286"/>
      <c r="BK15" s="224">
        <f t="shared" si="2"/>
        <v>0</v>
      </c>
      <c r="BL15" s="224">
        <f t="shared" si="3"/>
        <v>0</v>
      </c>
      <c r="BM15" s="209" t="str">
        <f t="shared" si="4"/>
        <v>Oke</v>
      </c>
    </row>
    <row r="16" spans="1:66" ht="12.75" customHeight="1" x14ac:dyDescent="0.3">
      <c r="A16" s="203" t="s">
        <v>483</v>
      </c>
      <c r="B16" s="203" t="s">
        <v>675</v>
      </c>
      <c r="C16" s="203" t="s">
        <v>245</v>
      </c>
      <c r="D16" s="203" t="s">
        <v>335</v>
      </c>
      <c r="E16" s="208"/>
      <c r="F16" s="24">
        <f>E16/12</f>
        <v>0</v>
      </c>
      <c r="G16" s="249">
        <f t="shared" si="0"/>
        <v>0</v>
      </c>
      <c r="H16" s="101">
        <f t="shared" si="1"/>
        <v>0</v>
      </c>
      <c r="I16" s="79"/>
      <c r="J16" s="226">
        <f>I16*2*normuren!$B$26</f>
        <v>0</v>
      </c>
      <c r="K16" s="227">
        <f>IF(G16&lt;3,normuren!$B$8,IF(AND(G16&lt;6,G16&gt;2),normuren!$B$9,IF(AND(G16&lt;9,G16&gt;5),normuren!$B$10,normuren!$B$11)))</f>
        <v>15</v>
      </c>
      <c r="L16" s="228">
        <f>normuren!$B$27</f>
        <v>20</v>
      </c>
      <c r="M16" s="228">
        <v>20</v>
      </c>
      <c r="N16" s="250">
        <f>normuren!$B$29</f>
        <v>1.5</v>
      </c>
      <c r="O16" s="115"/>
      <c r="P16" s="286"/>
      <c r="Q16" s="119"/>
      <c r="R16" s="119"/>
      <c r="S16" s="119"/>
      <c r="T16" s="119"/>
      <c r="U16" s="115"/>
      <c r="V16" s="115"/>
      <c r="W16" s="286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286"/>
      <c r="AM16" s="286"/>
      <c r="AN16" s="115"/>
      <c r="AO16" s="115"/>
      <c r="AP16" s="115"/>
      <c r="AQ16" s="115"/>
      <c r="AR16" s="286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286"/>
      <c r="BK16" s="224">
        <f t="shared" si="2"/>
        <v>0</v>
      </c>
      <c r="BL16" s="224">
        <f t="shared" si="3"/>
        <v>0</v>
      </c>
      <c r="BM16" s="209" t="str">
        <f t="shared" si="4"/>
        <v>Oke</v>
      </c>
    </row>
    <row r="17" spans="1:65" ht="12.75" customHeight="1" x14ac:dyDescent="0.3">
      <c r="A17" s="203" t="s">
        <v>676</v>
      </c>
      <c r="B17" s="203" t="s">
        <v>412</v>
      </c>
      <c r="C17" s="203" t="s">
        <v>245</v>
      </c>
      <c r="D17" s="203" t="s">
        <v>167</v>
      </c>
      <c r="E17" s="208"/>
      <c r="F17" s="24">
        <f>E17/12</f>
        <v>0</v>
      </c>
      <c r="G17" s="249">
        <f t="shared" si="0"/>
        <v>0</v>
      </c>
      <c r="H17" s="101">
        <f t="shared" si="1"/>
        <v>0</v>
      </c>
      <c r="I17" s="79"/>
      <c r="J17" s="226">
        <f>I17*2*normuren!$B$26</f>
        <v>0</v>
      </c>
      <c r="K17" s="227">
        <f>IF(G17&lt;3,normuren!$B$8,IF(AND(G17&lt;6,G17&gt;2),normuren!$B$9,IF(AND(G17&lt;9,G17&gt;5),normuren!$B$10,normuren!$B$11)))</f>
        <v>15</v>
      </c>
      <c r="L17" s="228">
        <f>normuren!$B$27</f>
        <v>20</v>
      </c>
      <c r="M17" s="228">
        <v>20</v>
      </c>
      <c r="N17" s="250">
        <f>normuren!$B$29</f>
        <v>1.5</v>
      </c>
      <c r="O17" s="115"/>
      <c r="P17" s="286"/>
      <c r="Q17" s="119"/>
      <c r="R17" s="119"/>
      <c r="S17" s="119"/>
      <c r="T17" s="119"/>
      <c r="U17" s="115"/>
      <c r="V17" s="115"/>
      <c r="W17" s="286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286"/>
      <c r="AM17" s="286"/>
      <c r="AN17" s="115"/>
      <c r="AO17" s="115"/>
      <c r="AP17" s="115"/>
      <c r="AQ17" s="115"/>
      <c r="AR17" s="286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286"/>
      <c r="BK17" s="224">
        <f t="shared" si="2"/>
        <v>0</v>
      </c>
      <c r="BL17" s="224">
        <f t="shared" si="3"/>
        <v>0</v>
      </c>
      <c r="BM17" s="209" t="str">
        <f t="shared" si="4"/>
        <v>Oke</v>
      </c>
    </row>
    <row r="18" spans="1:65" ht="12.75" customHeight="1" x14ac:dyDescent="0.3">
      <c r="A18" s="204" t="s">
        <v>484</v>
      </c>
      <c r="B18" s="204" t="s">
        <v>419</v>
      </c>
      <c r="C18" s="203" t="s">
        <v>246</v>
      </c>
      <c r="D18" s="204" t="s">
        <v>459</v>
      </c>
      <c r="E18" s="208"/>
      <c r="F18" s="24">
        <f>E18/12</f>
        <v>0</v>
      </c>
      <c r="G18" s="249">
        <f t="shared" si="0"/>
        <v>0</v>
      </c>
      <c r="H18" s="101">
        <f t="shared" si="1"/>
        <v>0</v>
      </c>
      <c r="I18" s="79"/>
      <c r="J18" s="226">
        <f>I18*2*normuren!$B$26</f>
        <v>0</v>
      </c>
      <c r="K18" s="227">
        <f>IF(G18&lt;3,normuren!$B$8,IF(AND(G18&lt;6,G18&gt;2),normuren!$B$9,IF(AND(G18&lt;9,G18&gt;5),normuren!$B$10,normuren!$B$11)))</f>
        <v>15</v>
      </c>
      <c r="L18" s="228">
        <f>normuren!$B$27</f>
        <v>20</v>
      </c>
      <c r="M18" s="228">
        <v>20</v>
      </c>
      <c r="N18" s="250">
        <f>normuren!$B$29</f>
        <v>1.5</v>
      </c>
      <c r="O18" s="115"/>
      <c r="P18" s="286"/>
      <c r="Q18" s="119"/>
      <c r="R18" s="119"/>
      <c r="S18" s="119"/>
      <c r="T18" s="119"/>
      <c r="U18" s="115"/>
      <c r="V18" s="115"/>
      <c r="W18" s="286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286"/>
      <c r="AM18" s="286"/>
      <c r="AN18" s="115"/>
      <c r="AO18" s="115"/>
      <c r="AP18" s="115"/>
      <c r="AQ18" s="115"/>
      <c r="AR18" s="286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286"/>
      <c r="BK18" s="224">
        <f t="shared" si="2"/>
        <v>0</v>
      </c>
      <c r="BL18" s="224">
        <f t="shared" si="3"/>
        <v>0</v>
      </c>
      <c r="BM18" s="209" t="str">
        <f t="shared" si="4"/>
        <v>Oke</v>
      </c>
    </row>
    <row r="19" spans="1:65" ht="12.75" customHeight="1" x14ac:dyDescent="0.3">
      <c r="A19" s="294" t="s">
        <v>421</v>
      </c>
      <c r="B19" s="294" t="s">
        <v>422</v>
      </c>
      <c r="C19" s="294" t="s">
        <v>27</v>
      </c>
      <c r="D19" s="294" t="s">
        <v>635</v>
      </c>
      <c r="E19" s="208"/>
      <c r="F19" s="24">
        <f>$E19/12</f>
        <v>0</v>
      </c>
      <c r="G19" s="249">
        <f t="shared" si="0"/>
        <v>0</v>
      </c>
      <c r="H19" s="101">
        <f t="shared" si="1"/>
        <v>0</v>
      </c>
      <c r="I19" s="79"/>
      <c r="J19" s="226">
        <f>I19*2*normuren!$B$26</f>
        <v>0</v>
      </c>
      <c r="K19" s="227">
        <f>IF(G19&lt;3,normuren!$B$8,IF(AND(G19&lt;6,G19&gt;2),normuren!$B$9,IF(AND(G19&lt;9,G19&gt;5),normuren!$B$10,normuren!$B$11)))</f>
        <v>15</v>
      </c>
      <c r="L19" s="228">
        <f>normuren!$B$27</f>
        <v>20</v>
      </c>
      <c r="M19" s="228">
        <v>20</v>
      </c>
      <c r="N19" s="250">
        <f>normuren!$B$29</f>
        <v>1.5</v>
      </c>
      <c r="O19" s="115" t="s">
        <v>696</v>
      </c>
      <c r="P19" s="288">
        <v>1</v>
      </c>
      <c r="Q19" s="119"/>
      <c r="R19" s="119"/>
      <c r="S19" s="119"/>
      <c r="T19" s="119"/>
      <c r="U19" s="115"/>
      <c r="V19" s="115"/>
      <c r="W19" s="286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286"/>
      <c r="AM19" s="286"/>
      <c r="AN19" s="115"/>
      <c r="AO19" s="115"/>
      <c r="AP19" s="115"/>
      <c r="AQ19" s="115"/>
      <c r="AR19" s="286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286"/>
      <c r="BK19" s="224">
        <f t="shared" si="2"/>
        <v>1</v>
      </c>
      <c r="BL19" s="224">
        <f t="shared" si="3"/>
        <v>-1</v>
      </c>
      <c r="BM19" s="209" t="str">
        <f t="shared" si="4"/>
        <v>Oke</v>
      </c>
    </row>
    <row r="20" spans="1:65" ht="12.75" customHeight="1" x14ac:dyDescent="0.3">
      <c r="A20" s="203" t="s">
        <v>486</v>
      </c>
      <c r="B20" s="203" t="s">
        <v>423</v>
      </c>
      <c r="C20" s="203" t="s">
        <v>247</v>
      </c>
      <c r="D20" s="203" t="s">
        <v>194</v>
      </c>
      <c r="E20" s="208"/>
      <c r="F20" s="24">
        <f t="shared" ref="F20:F42" si="6">E20/12</f>
        <v>0</v>
      </c>
      <c r="G20" s="249">
        <f t="shared" si="0"/>
        <v>0</v>
      </c>
      <c r="H20" s="101">
        <f t="shared" si="1"/>
        <v>0</v>
      </c>
      <c r="I20" s="79"/>
      <c r="J20" s="226">
        <f>I20*2*normuren!$B$26</f>
        <v>0</v>
      </c>
      <c r="K20" s="227">
        <f>IF(G20&lt;3,normuren!$B$8,IF(AND(G20&lt;6,G20&gt;2),normuren!$B$9,IF(AND(G20&lt;9,G20&gt;5),normuren!$B$10,normuren!$B$11)))</f>
        <v>15</v>
      </c>
      <c r="L20" s="228">
        <f>normuren!$B$24*2*12</f>
        <v>36</v>
      </c>
      <c r="M20" s="228">
        <f>normuren!$B$25*2*12</f>
        <v>45.599999999999994</v>
      </c>
      <c r="N20" s="250">
        <f>normuren!$B$29</f>
        <v>1.5</v>
      </c>
      <c r="O20" s="220" t="s">
        <v>696</v>
      </c>
      <c r="P20" s="303"/>
      <c r="Q20" s="119"/>
      <c r="R20" s="119"/>
      <c r="S20" s="119"/>
      <c r="T20" s="119"/>
      <c r="U20" s="115"/>
      <c r="V20" s="115"/>
      <c r="W20" s="287"/>
      <c r="X20" s="173"/>
      <c r="Y20" s="115"/>
      <c r="Z20" s="115"/>
      <c r="AA20" s="115"/>
      <c r="AB20" s="173"/>
      <c r="AC20" s="173"/>
      <c r="AD20" s="173"/>
      <c r="AE20" s="115"/>
      <c r="AF20" s="115"/>
      <c r="AG20" s="115"/>
      <c r="AH20" s="115"/>
      <c r="AI20" s="115"/>
      <c r="AJ20" s="115"/>
      <c r="AK20" s="115"/>
      <c r="AL20" s="286"/>
      <c r="AM20" s="286"/>
      <c r="AN20" s="115"/>
      <c r="AO20" s="115"/>
      <c r="AP20" s="115"/>
      <c r="AQ20" s="115"/>
      <c r="AR20" s="286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286"/>
      <c r="BK20" s="224">
        <f t="shared" si="2"/>
        <v>0</v>
      </c>
      <c r="BL20" s="224">
        <f t="shared" si="3"/>
        <v>0</v>
      </c>
      <c r="BM20" s="209" t="str">
        <f t="shared" si="4"/>
        <v>Oke</v>
      </c>
    </row>
    <row r="21" spans="1:65" ht="12.75" customHeight="1" x14ac:dyDescent="0.3">
      <c r="A21" s="203" t="s">
        <v>487</v>
      </c>
      <c r="B21" s="203" t="s">
        <v>424</v>
      </c>
      <c r="C21" s="203" t="s">
        <v>247</v>
      </c>
      <c r="D21" s="203" t="s">
        <v>460</v>
      </c>
      <c r="E21" s="208"/>
      <c r="F21" s="24">
        <f t="shared" si="6"/>
        <v>0</v>
      </c>
      <c r="G21" s="249">
        <f t="shared" si="0"/>
        <v>0</v>
      </c>
      <c r="H21" s="101">
        <f t="shared" si="1"/>
        <v>0</v>
      </c>
      <c r="I21" s="79"/>
      <c r="J21" s="226">
        <f>I21*2*normuren!$B$26</f>
        <v>0</v>
      </c>
      <c r="K21" s="227">
        <f>IF(G21&lt;3,normuren!$B$8,IF(AND(G21&lt;6,G21&gt;2),normuren!$B$9,IF(AND(G21&lt;9,G21&gt;5),normuren!$B$10,normuren!$B$11)))</f>
        <v>15</v>
      </c>
      <c r="L21" s="228">
        <f>normuren!$B$24*2*12</f>
        <v>36</v>
      </c>
      <c r="M21" s="228">
        <f>normuren!$B$25*2*12</f>
        <v>45.599999999999994</v>
      </c>
      <c r="N21" s="250">
        <f>normuren!$B$29</f>
        <v>1.5</v>
      </c>
      <c r="O21" s="115" t="s">
        <v>696</v>
      </c>
      <c r="P21" s="286"/>
      <c r="Q21" s="119"/>
      <c r="R21" s="119"/>
      <c r="S21" s="119"/>
      <c r="T21" s="119"/>
      <c r="U21" s="115"/>
      <c r="V21" s="115"/>
      <c r="W21" s="286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286"/>
      <c r="AM21" s="286"/>
      <c r="AN21" s="115"/>
      <c r="AO21" s="115"/>
      <c r="AP21" s="115"/>
      <c r="AQ21" s="115"/>
      <c r="AR21" s="286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286"/>
      <c r="BK21" s="224">
        <f t="shared" si="2"/>
        <v>0</v>
      </c>
      <c r="BL21" s="224">
        <f t="shared" si="3"/>
        <v>0</v>
      </c>
      <c r="BM21" s="209" t="str">
        <f t="shared" si="4"/>
        <v>Oke</v>
      </c>
    </row>
    <row r="22" spans="1:65" ht="12.75" customHeight="1" x14ac:dyDescent="0.3">
      <c r="A22" s="203" t="s">
        <v>577</v>
      </c>
      <c r="B22" s="203" t="s">
        <v>516</v>
      </c>
      <c r="C22" s="203" t="s">
        <v>246</v>
      </c>
      <c r="D22" s="206" t="s">
        <v>636</v>
      </c>
      <c r="E22" s="208"/>
      <c r="F22" s="24">
        <f t="shared" si="6"/>
        <v>0</v>
      </c>
      <c r="G22" s="249">
        <f t="shared" si="0"/>
        <v>0</v>
      </c>
      <c r="H22" s="101">
        <f t="shared" si="1"/>
        <v>0</v>
      </c>
      <c r="I22" s="79"/>
      <c r="J22" s="226">
        <f>I22*2*normuren!$B$26</f>
        <v>0</v>
      </c>
      <c r="K22" s="227">
        <f>IF(G22&lt;3,normuren!$B$8,IF(AND(G22&lt;6,G22&gt;2),normuren!$B$9,IF(AND(G22&lt;9,G22&gt;5),normuren!$B$10,normuren!$B$11)))</f>
        <v>15</v>
      </c>
      <c r="L22" s="228">
        <f>normuren!$B$24*2*12</f>
        <v>36</v>
      </c>
      <c r="M22" s="228">
        <f>normuren!$B$25*2*12</f>
        <v>45.599999999999994</v>
      </c>
      <c r="N22" s="250">
        <f>normuren!$B$29</f>
        <v>1.5</v>
      </c>
      <c r="O22" s="115"/>
      <c r="P22" s="286"/>
      <c r="Q22" s="119"/>
      <c r="R22" s="119"/>
      <c r="S22" s="119"/>
      <c r="T22" s="119"/>
      <c r="U22" s="115"/>
      <c r="V22" s="115"/>
      <c r="W22" s="286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286"/>
      <c r="AM22" s="287"/>
      <c r="AN22" s="173"/>
      <c r="AO22" s="115"/>
      <c r="AP22" s="115"/>
      <c r="AQ22" s="115"/>
      <c r="AR22" s="286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286"/>
      <c r="BK22" s="224">
        <f t="shared" si="2"/>
        <v>0</v>
      </c>
      <c r="BL22" s="224">
        <f t="shared" si="3"/>
        <v>0</v>
      </c>
      <c r="BM22" s="209" t="str">
        <f t="shared" si="4"/>
        <v>Oke</v>
      </c>
    </row>
    <row r="23" spans="1:65" ht="12.75" customHeight="1" x14ac:dyDescent="0.3">
      <c r="A23" s="203" t="s">
        <v>488</v>
      </c>
      <c r="B23" s="203" t="s">
        <v>425</v>
      </c>
      <c r="C23" s="203" t="s">
        <v>247</v>
      </c>
      <c r="D23" s="203" t="s">
        <v>461</v>
      </c>
      <c r="E23" s="208"/>
      <c r="F23" s="24">
        <f t="shared" si="6"/>
        <v>0</v>
      </c>
      <c r="G23" s="249">
        <f t="shared" si="0"/>
        <v>0</v>
      </c>
      <c r="H23" s="101">
        <f t="shared" si="1"/>
        <v>0</v>
      </c>
      <c r="I23" s="79"/>
      <c r="J23" s="226">
        <f>I23*2*normuren!$B$26</f>
        <v>0</v>
      </c>
      <c r="K23" s="227">
        <f>IF(G23&lt;3,normuren!$B$8,IF(AND(G23&lt;6,G23&gt;2),normuren!$B$9,IF(AND(G23&lt;9,G23&gt;5),normuren!$B$10,normuren!$B$11)))</f>
        <v>15</v>
      </c>
      <c r="L23" s="228">
        <f>normuren!$B$24*2*12</f>
        <v>36</v>
      </c>
      <c r="M23" s="228">
        <f>normuren!$B$25*2*12</f>
        <v>45.599999999999994</v>
      </c>
      <c r="N23" s="250">
        <f>normuren!$B$29</f>
        <v>1.5</v>
      </c>
      <c r="O23" s="115"/>
      <c r="P23" s="286"/>
      <c r="Q23" s="119"/>
      <c r="R23" s="119"/>
      <c r="S23" s="119"/>
      <c r="T23" s="119"/>
      <c r="U23" s="115"/>
      <c r="V23" s="115"/>
      <c r="W23" s="286"/>
      <c r="X23" s="115"/>
      <c r="Y23" s="173"/>
      <c r="Z23" s="173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286"/>
      <c r="AM23" s="286"/>
      <c r="AN23" s="115"/>
      <c r="AO23" s="115"/>
      <c r="AP23" s="115"/>
      <c r="AQ23" s="115"/>
      <c r="AR23" s="286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286"/>
      <c r="BK23" s="224">
        <f t="shared" si="2"/>
        <v>0</v>
      </c>
      <c r="BL23" s="224">
        <f t="shared" si="3"/>
        <v>0</v>
      </c>
      <c r="BM23" s="209" t="str">
        <f t="shared" si="4"/>
        <v>Oke</v>
      </c>
    </row>
    <row r="24" spans="1:65" ht="12.75" customHeight="1" x14ac:dyDescent="0.3">
      <c r="A24" s="203" t="s">
        <v>489</v>
      </c>
      <c r="B24" s="203" t="s">
        <v>426</v>
      </c>
      <c r="C24" s="203" t="s">
        <v>246</v>
      </c>
      <c r="D24" s="204" t="s">
        <v>677</v>
      </c>
      <c r="E24" s="208"/>
      <c r="F24" s="24">
        <f t="shared" si="6"/>
        <v>0</v>
      </c>
      <c r="G24" s="249">
        <f t="shared" si="0"/>
        <v>0</v>
      </c>
      <c r="H24" s="101">
        <f t="shared" si="1"/>
        <v>0</v>
      </c>
      <c r="I24" s="79"/>
      <c r="J24" s="226">
        <f>I24*2*normuren!$B$26</f>
        <v>0</v>
      </c>
      <c r="K24" s="227">
        <f>IF(G24&lt;3,normuren!$B$8,IF(AND(G24&lt;6,G24&gt;2),normuren!$B$9,IF(AND(G24&lt;9,G24&gt;5),normuren!$B$10,normuren!$B$11)))</f>
        <v>15</v>
      </c>
      <c r="L24" s="228">
        <f>normuren!$B$24*2*12</f>
        <v>36</v>
      </c>
      <c r="M24" s="228">
        <f>normuren!$B$25*2*12</f>
        <v>45.599999999999994</v>
      </c>
      <c r="N24" s="250">
        <f>normuren!$B$29</f>
        <v>1.5</v>
      </c>
      <c r="O24" s="115"/>
      <c r="P24" s="286"/>
      <c r="Q24" s="119"/>
      <c r="R24" s="119"/>
      <c r="S24" s="119"/>
      <c r="T24" s="119"/>
      <c r="U24" s="115"/>
      <c r="V24" s="115"/>
      <c r="W24" s="286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286"/>
      <c r="AM24" s="286"/>
      <c r="AN24" s="284" t="s">
        <v>696</v>
      </c>
      <c r="AO24" s="115"/>
      <c r="AP24" s="115"/>
      <c r="AQ24" s="115"/>
      <c r="AR24" s="286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286"/>
      <c r="BK24" s="224">
        <f t="shared" si="2"/>
        <v>0</v>
      </c>
      <c r="BL24" s="224">
        <f t="shared" si="3"/>
        <v>0</v>
      </c>
      <c r="BM24" s="209" t="str">
        <f t="shared" si="4"/>
        <v>Oke</v>
      </c>
    </row>
    <row r="25" spans="1:65" ht="12.75" customHeight="1" x14ac:dyDescent="0.3">
      <c r="A25" s="203" t="s">
        <v>427</v>
      </c>
      <c r="B25" s="203" t="s">
        <v>428</v>
      </c>
      <c r="C25" s="203" t="s">
        <v>477</v>
      </c>
      <c r="D25" s="203" t="s">
        <v>637</v>
      </c>
      <c r="E25" s="208"/>
      <c r="F25" s="24">
        <f t="shared" si="6"/>
        <v>0</v>
      </c>
      <c r="G25" s="249">
        <f t="shared" si="0"/>
        <v>0</v>
      </c>
      <c r="H25" s="101">
        <f t="shared" si="1"/>
        <v>0</v>
      </c>
      <c r="I25" s="79"/>
      <c r="J25" s="226">
        <f>I25*2*normuren!$B$26</f>
        <v>0</v>
      </c>
      <c r="K25" s="227">
        <f>IF(G25&lt;3,normuren!$B$8,IF(AND(G25&lt;6,G25&gt;2),normuren!$B$9,IF(AND(G25&lt;9,G25&gt;5),normuren!$B$10,normuren!$B$11)))</f>
        <v>15</v>
      </c>
      <c r="L25" s="228">
        <f>normuren!$B$24*2*12</f>
        <v>36</v>
      </c>
      <c r="M25" s="228">
        <f>normuren!$B$25*2*12</f>
        <v>45.599999999999994</v>
      </c>
      <c r="N25" s="250">
        <f>normuren!$B$29</f>
        <v>1.5</v>
      </c>
      <c r="O25" s="115"/>
      <c r="P25" s="286"/>
      <c r="Q25" s="119"/>
      <c r="R25" s="119"/>
      <c r="S25" s="119"/>
      <c r="T25" s="119"/>
      <c r="U25" s="115"/>
      <c r="V25" s="115"/>
      <c r="W25" s="286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286"/>
      <c r="AM25" s="286"/>
      <c r="AN25" s="115"/>
      <c r="AO25" s="115"/>
      <c r="AP25" s="115"/>
      <c r="AQ25" s="115"/>
      <c r="AR25" s="286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286"/>
      <c r="BK25" s="224">
        <f t="shared" si="2"/>
        <v>0</v>
      </c>
      <c r="BL25" s="224">
        <f t="shared" si="3"/>
        <v>0</v>
      </c>
      <c r="BM25" s="209" t="str">
        <f t="shared" si="4"/>
        <v>Oke</v>
      </c>
    </row>
    <row r="26" spans="1:65" ht="12.75" customHeight="1" x14ac:dyDescent="0.3">
      <c r="A26" s="203" t="s">
        <v>490</v>
      </c>
      <c r="B26" s="203" t="s">
        <v>429</v>
      </c>
      <c r="C26" s="203" t="s">
        <v>354</v>
      </c>
      <c r="D26" s="203" t="s">
        <v>339</v>
      </c>
      <c r="E26" s="208"/>
      <c r="F26" s="24">
        <f t="shared" si="6"/>
        <v>0</v>
      </c>
      <c r="G26" s="249">
        <f t="shared" si="0"/>
        <v>0</v>
      </c>
      <c r="H26" s="101">
        <f>IF(G26=0,0,E26/G26)</f>
        <v>0</v>
      </c>
      <c r="I26" s="79"/>
      <c r="J26" s="226">
        <f>I26*2*normuren!$B$26</f>
        <v>0</v>
      </c>
      <c r="K26" s="227">
        <f>IF(G26&lt;3,normuren!$B$8,IF(AND(G26&lt;6,G26&gt;2),normuren!$B$9,IF(AND(G26&lt;9,G26&gt;5),normuren!$B$10,normuren!$B$11)))</f>
        <v>15</v>
      </c>
      <c r="L26" s="228">
        <f>normuren!$B$24*2*12</f>
        <v>36</v>
      </c>
      <c r="M26" s="228">
        <f>normuren!$B$25*2*12</f>
        <v>45.599999999999994</v>
      </c>
      <c r="N26" s="250">
        <f>normuren!$B$29</f>
        <v>1.5</v>
      </c>
      <c r="O26" s="115" t="s">
        <v>696</v>
      </c>
      <c r="P26" s="286"/>
      <c r="Q26" s="119"/>
      <c r="R26" s="119"/>
      <c r="S26" s="119"/>
      <c r="T26" s="119"/>
      <c r="U26" s="173"/>
      <c r="V26" s="115"/>
      <c r="W26" s="286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286"/>
      <c r="AM26" s="286"/>
      <c r="AN26" s="115"/>
      <c r="AO26" s="115"/>
      <c r="AP26" s="115"/>
      <c r="AQ26" s="115"/>
      <c r="AR26" s="286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286"/>
      <c r="BK26" s="224">
        <f t="shared" si="2"/>
        <v>0</v>
      </c>
      <c r="BL26" s="224">
        <f t="shared" si="3"/>
        <v>0</v>
      </c>
      <c r="BM26" s="209" t="str">
        <f t="shared" si="4"/>
        <v>Oke</v>
      </c>
    </row>
    <row r="27" spans="1:65" ht="12.75" customHeight="1" x14ac:dyDescent="0.3">
      <c r="A27" s="203" t="s">
        <v>491</v>
      </c>
      <c r="B27" s="203" t="s">
        <v>430</v>
      </c>
      <c r="C27" s="203" t="s">
        <v>247</v>
      </c>
      <c r="D27" s="205" t="s">
        <v>638</v>
      </c>
      <c r="E27" s="208"/>
      <c r="F27" s="24">
        <f t="shared" si="6"/>
        <v>0</v>
      </c>
      <c r="G27" s="249">
        <f t="shared" si="0"/>
        <v>0</v>
      </c>
      <c r="H27" s="101">
        <f t="shared" si="1"/>
        <v>0</v>
      </c>
      <c r="I27" s="79"/>
      <c r="J27" s="226">
        <f>I27*2*normuren!$B$26</f>
        <v>0</v>
      </c>
      <c r="K27" s="227">
        <f>IF(G27&lt;3,normuren!$B$8,IF(AND(G27&lt;6,G27&gt;2),normuren!$B$9,IF(AND(G27&lt;9,G27&gt;5),normuren!$B$10,normuren!$B$11)))</f>
        <v>15</v>
      </c>
      <c r="L27" s="228">
        <f>normuren!$B$24*2*12</f>
        <v>36</v>
      </c>
      <c r="M27" s="228">
        <f>normuren!$B$25*2*12</f>
        <v>45.599999999999994</v>
      </c>
      <c r="N27" s="250">
        <f>normuren!$B$29</f>
        <v>1.5</v>
      </c>
      <c r="O27" s="115"/>
      <c r="P27" s="286"/>
      <c r="Q27" s="119"/>
      <c r="R27" s="119"/>
      <c r="S27" s="119"/>
      <c r="T27" s="119"/>
      <c r="U27" s="115"/>
      <c r="V27" s="115"/>
      <c r="W27" s="286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286"/>
      <c r="AM27" s="286"/>
      <c r="AN27" s="115"/>
      <c r="AO27" s="115"/>
      <c r="AP27" s="115"/>
      <c r="AQ27" s="115"/>
      <c r="AR27" s="286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286"/>
      <c r="BK27" s="224">
        <f t="shared" si="2"/>
        <v>0</v>
      </c>
      <c r="BL27" s="224">
        <f t="shared" si="3"/>
        <v>0</v>
      </c>
      <c r="BM27" s="209" t="str">
        <f t="shared" si="4"/>
        <v>Oke</v>
      </c>
    </row>
    <row r="28" spans="1:65" ht="12.75" customHeight="1" x14ac:dyDescent="0.3">
      <c r="A28" s="294" t="s">
        <v>203</v>
      </c>
      <c r="B28" s="294" t="s">
        <v>204</v>
      </c>
      <c r="C28" s="294" t="s">
        <v>27</v>
      </c>
      <c r="D28" s="294" t="s">
        <v>702</v>
      </c>
      <c r="E28" s="208"/>
      <c r="F28" s="24">
        <f t="shared" si="6"/>
        <v>0</v>
      </c>
      <c r="G28" s="249">
        <f t="shared" si="0"/>
        <v>0</v>
      </c>
      <c r="H28" s="101">
        <f>IF(G28=0,0,E28/G28)</f>
        <v>0</v>
      </c>
      <c r="I28" s="79"/>
      <c r="J28" s="226">
        <f>I28*2*normuren!$B$26</f>
        <v>0</v>
      </c>
      <c r="K28" s="227">
        <f>IF(G28&lt;3,normuren!$B$8,IF(AND(G28&lt;6,G28&gt;2),normuren!$B$9,IF(AND(G28&lt;9,G28&gt;5),normuren!$B$10,normuren!$B$11)))</f>
        <v>15</v>
      </c>
      <c r="L28" s="228">
        <f>normuren!$B$24*2*12</f>
        <v>36</v>
      </c>
      <c r="M28" s="228">
        <f>normuren!$B$25*2*12</f>
        <v>45.599999999999994</v>
      </c>
      <c r="N28" s="250">
        <f>normuren!$B$29</f>
        <v>1.5</v>
      </c>
      <c r="O28" s="173" t="s">
        <v>696</v>
      </c>
      <c r="P28" s="287"/>
      <c r="Q28" s="119"/>
      <c r="R28" s="119"/>
      <c r="S28" s="119"/>
      <c r="T28" s="119"/>
      <c r="U28" s="115"/>
      <c r="V28" s="115"/>
      <c r="W28" s="286"/>
      <c r="X28" s="115"/>
      <c r="Y28" s="115"/>
      <c r="Z28" s="115"/>
      <c r="AA28" s="115"/>
      <c r="AB28" s="115"/>
      <c r="AC28" s="115"/>
      <c r="AD28" s="115"/>
      <c r="AE28" s="288">
        <v>1</v>
      </c>
      <c r="AF28" s="115"/>
      <c r="AG28" s="288">
        <v>1</v>
      </c>
      <c r="AH28" s="115"/>
      <c r="AI28" s="115"/>
      <c r="AJ28" s="115"/>
      <c r="AK28" s="115"/>
      <c r="AL28" s="286"/>
      <c r="AM28" s="286"/>
      <c r="AN28" s="115"/>
      <c r="AO28" s="115"/>
      <c r="AP28" s="115"/>
      <c r="AQ28" s="173"/>
      <c r="AR28" s="286"/>
      <c r="AS28" s="115"/>
      <c r="AT28" s="115"/>
      <c r="AU28" s="288">
        <v>2</v>
      </c>
      <c r="AV28" s="115"/>
      <c r="AW28" s="115"/>
      <c r="AX28" s="288">
        <v>2</v>
      </c>
      <c r="AY28" s="115"/>
      <c r="AZ28" s="115"/>
      <c r="BA28" s="115"/>
      <c r="BB28" s="115"/>
      <c r="BC28" s="284">
        <v>2</v>
      </c>
      <c r="BD28" s="115"/>
      <c r="BE28" s="115"/>
      <c r="BF28" s="115"/>
      <c r="BG28" s="115"/>
      <c r="BH28" s="288">
        <v>4</v>
      </c>
      <c r="BI28" s="115"/>
      <c r="BJ28" s="286"/>
      <c r="BK28" s="224">
        <f t="shared" si="2"/>
        <v>12</v>
      </c>
      <c r="BL28" s="224">
        <f t="shared" si="3"/>
        <v>-12</v>
      </c>
      <c r="BM28" s="209" t="str">
        <f t="shared" si="4"/>
        <v>Oke</v>
      </c>
    </row>
    <row r="29" spans="1:65" ht="12.75" customHeight="1" x14ac:dyDescent="0.3">
      <c r="A29" s="294" t="s">
        <v>206</v>
      </c>
      <c r="B29" s="294" t="s">
        <v>207</v>
      </c>
      <c r="C29" s="294" t="s">
        <v>27</v>
      </c>
      <c r="D29" s="294" t="s">
        <v>208</v>
      </c>
      <c r="E29" s="208"/>
      <c r="F29" s="24">
        <f t="shared" si="6"/>
        <v>0</v>
      </c>
      <c r="G29" s="249">
        <f t="shared" si="0"/>
        <v>0</v>
      </c>
      <c r="H29" s="101">
        <f t="shared" si="1"/>
        <v>0</v>
      </c>
      <c r="I29" s="79"/>
      <c r="J29" s="226">
        <f>I29*2*normuren!$B$26</f>
        <v>0</v>
      </c>
      <c r="K29" s="227">
        <f>IF(G29&lt;3,normuren!$B$8,IF(AND(G29&lt;6,G29&gt;2),normuren!$B$9,IF(AND(G29&lt;9,G29&gt;5),normuren!$B$10,normuren!$B$11)))</f>
        <v>15</v>
      </c>
      <c r="L29" s="228">
        <f>normuren!$B$24*2*12</f>
        <v>36</v>
      </c>
      <c r="M29" s="228">
        <f>normuren!$B$25*2*12</f>
        <v>45.599999999999994</v>
      </c>
      <c r="N29" s="250">
        <f>normuren!$B$29</f>
        <v>1.5</v>
      </c>
      <c r="O29" s="115" t="s">
        <v>696</v>
      </c>
      <c r="P29" s="286"/>
      <c r="Q29" s="119"/>
      <c r="R29" s="119"/>
      <c r="S29" s="119"/>
      <c r="T29" s="119"/>
      <c r="U29" s="115"/>
      <c r="V29" s="288">
        <v>2</v>
      </c>
      <c r="W29" s="286"/>
      <c r="X29" s="115"/>
      <c r="Y29" s="115"/>
      <c r="Z29" s="115"/>
      <c r="AA29" s="115"/>
      <c r="AB29" s="115"/>
      <c r="AC29" s="288">
        <v>2</v>
      </c>
      <c r="AD29" s="115"/>
      <c r="AE29" s="115"/>
      <c r="AF29" s="115"/>
      <c r="AG29" s="115"/>
      <c r="AH29" s="115"/>
      <c r="AI29" s="115"/>
      <c r="AJ29" s="115"/>
      <c r="AK29" s="115"/>
      <c r="AL29" s="286"/>
      <c r="AM29" s="286"/>
      <c r="AN29" s="115"/>
      <c r="AO29" s="115"/>
      <c r="AP29" s="115"/>
      <c r="AQ29" s="115"/>
      <c r="AR29" s="286"/>
      <c r="AS29" s="288" t="s">
        <v>696</v>
      </c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288">
        <v>3</v>
      </c>
      <c r="BE29" s="115"/>
      <c r="BF29" s="173"/>
      <c r="BG29" s="173"/>
      <c r="BH29" s="173"/>
      <c r="BI29" s="173"/>
      <c r="BJ29" s="287"/>
      <c r="BK29" s="224">
        <f t="shared" si="2"/>
        <v>7</v>
      </c>
      <c r="BL29" s="224">
        <f t="shared" si="3"/>
        <v>-7</v>
      </c>
      <c r="BM29" s="209" t="str">
        <f t="shared" si="4"/>
        <v>Oke</v>
      </c>
    </row>
    <row r="30" spans="1:65" ht="12.75" customHeight="1" x14ac:dyDescent="0.3">
      <c r="A30" s="203" t="s">
        <v>431</v>
      </c>
      <c r="B30" s="203" t="s">
        <v>432</v>
      </c>
      <c r="C30" s="203" t="s">
        <v>245</v>
      </c>
      <c r="D30" s="203" t="s">
        <v>462</v>
      </c>
      <c r="E30" s="208"/>
      <c r="F30" s="24">
        <f>E30/8</f>
        <v>0</v>
      </c>
      <c r="G30" s="249">
        <f t="shared" si="0"/>
        <v>0</v>
      </c>
      <c r="H30" s="101">
        <f t="shared" si="1"/>
        <v>0</v>
      </c>
      <c r="I30" s="79"/>
      <c r="J30" s="226">
        <f>I30*2*normuren!$B$26</f>
        <v>0</v>
      </c>
      <c r="K30" s="227">
        <f>IF(G30&lt;3,normuren!$B$8,IF(AND(G30&lt;6,G30&gt;2),normuren!$B$9,IF(AND(G30&lt;9,G30&gt;5),normuren!$B$10,normuren!$B$11)))</f>
        <v>15</v>
      </c>
      <c r="L30" s="228">
        <f>normuren!$B$24*2*12</f>
        <v>36</v>
      </c>
      <c r="M30" s="228">
        <f>normuren!$B$25*2*12</f>
        <v>45.599999999999994</v>
      </c>
      <c r="N30" s="250">
        <f>normuren!$B$29</f>
        <v>1.5</v>
      </c>
      <c r="O30" s="115"/>
      <c r="P30" s="286"/>
      <c r="Q30" s="119"/>
      <c r="R30" s="119"/>
      <c r="S30" s="119"/>
      <c r="T30" s="119"/>
      <c r="U30" s="115"/>
      <c r="V30" s="115"/>
      <c r="W30" s="286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286"/>
      <c r="AM30" s="286"/>
      <c r="AN30" s="115"/>
      <c r="AO30" s="115"/>
      <c r="AP30" s="115"/>
      <c r="AQ30" s="115"/>
      <c r="AR30" s="286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286"/>
      <c r="BK30" s="224">
        <f t="shared" si="2"/>
        <v>0</v>
      </c>
      <c r="BL30" s="224">
        <f t="shared" si="3"/>
        <v>0</v>
      </c>
      <c r="BM30" s="209" t="str">
        <f t="shared" si="4"/>
        <v>Oke</v>
      </c>
    </row>
    <row r="31" spans="1:65" ht="12.75" customHeight="1" x14ac:dyDescent="0.3">
      <c r="A31" s="294" t="s">
        <v>259</v>
      </c>
      <c r="B31" s="294" t="s">
        <v>209</v>
      </c>
      <c r="C31" s="294" t="s">
        <v>27</v>
      </c>
      <c r="D31" s="294" t="s">
        <v>180</v>
      </c>
      <c r="E31" s="208"/>
      <c r="F31" s="24">
        <f t="shared" si="6"/>
        <v>0</v>
      </c>
      <c r="G31" s="249">
        <f t="shared" si="0"/>
        <v>0</v>
      </c>
      <c r="H31" s="101">
        <f t="shared" si="1"/>
        <v>0</v>
      </c>
      <c r="I31" s="79"/>
      <c r="J31" s="226">
        <f>I31*2*normuren!$B$26</f>
        <v>0</v>
      </c>
      <c r="K31" s="227">
        <f>IF(G31&lt;3,normuren!$B$8,IF(AND(G31&lt;6,G31&gt;2),normuren!$B$9,IF(AND(G31&lt;9,G31&gt;5),normuren!$B$10,normuren!$B$11)))</f>
        <v>15</v>
      </c>
      <c r="L31" s="228">
        <f>normuren!$B$24*2*12</f>
        <v>36</v>
      </c>
      <c r="M31" s="228">
        <f>normuren!$B$25*2*12</f>
        <v>45.599999999999994</v>
      </c>
      <c r="N31" s="250">
        <f>normuren!$B$29</f>
        <v>1.5</v>
      </c>
      <c r="O31" s="115"/>
      <c r="P31" s="286"/>
      <c r="Q31" s="119"/>
      <c r="R31" s="119"/>
      <c r="S31" s="119"/>
      <c r="T31" s="119"/>
      <c r="U31" s="288" t="s">
        <v>696</v>
      </c>
      <c r="V31" s="115"/>
      <c r="W31" s="286"/>
      <c r="X31" s="115"/>
      <c r="Y31" s="173"/>
      <c r="Z31" s="173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286"/>
      <c r="AM31" s="286"/>
      <c r="AN31" s="115"/>
      <c r="AO31" s="115"/>
      <c r="AP31" s="115"/>
      <c r="AQ31" s="288">
        <v>2</v>
      </c>
      <c r="AR31" s="286"/>
      <c r="AS31" s="115"/>
      <c r="AT31" s="115"/>
      <c r="AU31" s="115"/>
      <c r="AV31" s="115"/>
      <c r="AW31" s="115"/>
      <c r="AX31" s="115"/>
      <c r="AY31" s="115"/>
      <c r="AZ31" s="288" t="s">
        <v>696</v>
      </c>
      <c r="BA31" s="115"/>
      <c r="BB31" s="115"/>
      <c r="BC31" s="288">
        <v>3</v>
      </c>
      <c r="BD31" s="284" t="s">
        <v>696</v>
      </c>
      <c r="BE31" s="115"/>
      <c r="BF31" s="115"/>
      <c r="BG31" s="306" t="s">
        <v>696</v>
      </c>
      <c r="BH31" s="115"/>
      <c r="BI31" s="115"/>
      <c r="BJ31" s="286"/>
      <c r="BK31" s="224">
        <f t="shared" si="2"/>
        <v>5</v>
      </c>
      <c r="BL31" s="224">
        <f t="shared" si="3"/>
        <v>-5</v>
      </c>
      <c r="BM31" s="209" t="str">
        <f t="shared" si="4"/>
        <v>Oke</v>
      </c>
    </row>
    <row r="32" spans="1:65" ht="12.75" customHeight="1" x14ac:dyDescent="0.3">
      <c r="A32" s="294" t="s">
        <v>522</v>
      </c>
      <c r="B32" s="294" t="s">
        <v>523</v>
      </c>
      <c r="C32" s="294" t="s">
        <v>27</v>
      </c>
      <c r="D32" s="294" t="s">
        <v>214</v>
      </c>
      <c r="E32" s="208"/>
      <c r="F32" s="24">
        <f t="shared" si="6"/>
        <v>0</v>
      </c>
      <c r="G32" s="249">
        <f t="shared" si="0"/>
        <v>0</v>
      </c>
      <c r="H32" s="101">
        <f t="shared" si="1"/>
        <v>0</v>
      </c>
      <c r="I32" s="79"/>
      <c r="J32" s="226">
        <f>I32*2*normuren!$B$26</f>
        <v>0</v>
      </c>
      <c r="K32" s="227">
        <f>IF(G32&lt;3,normuren!$B$8,IF(AND(G32&lt;6,G32&gt;2),normuren!$B$9,IF(AND(G32&lt;9,G32&gt;5),normuren!$B$10,normuren!$B$11)))</f>
        <v>15</v>
      </c>
      <c r="L32" s="228">
        <f>normuren!$B$24*2*12</f>
        <v>36</v>
      </c>
      <c r="M32" s="228">
        <f>normuren!$B$25*2*12</f>
        <v>45.599999999999994</v>
      </c>
      <c r="N32" s="250">
        <f>normuren!$B$29</f>
        <v>1.5</v>
      </c>
      <c r="O32" s="115"/>
      <c r="P32" s="286"/>
      <c r="Q32" s="119"/>
      <c r="R32" s="119"/>
      <c r="S32" s="119"/>
      <c r="T32" s="119"/>
      <c r="U32" s="115"/>
      <c r="V32" s="115"/>
      <c r="W32" s="286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288" t="s">
        <v>704</v>
      </c>
      <c r="AI32" s="115"/>
      <c r="AJ32" s="115"/>
      <c r="AK32" s="115"/>
      <c r="AL32" s="286"/>
      <c r="AM32" s="286"/>
      <c r="AN32" s="115"/>
      <c r="AO32" s="115"/>
      <c r="AP32" s="115"/>
      <c r="AQ32" s="115"/>
      <c r="AR32" s="286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286"/>
      <c r="BK32" s="224">
        <f t="shared" si="2"/>
        <v>0</v>
      </c>
      <c r="BL32" s="224">
        <f t="shared" si="3"/>
        <v>0</v>
      </c>
      <c r="BM32" s="209" t="str">
        <f t="shared" si="4"/>
        <v>Oke</v>
      </c>
    </row>
    <row r="33" spans="1:65" ht="12.75" customHeight="1" x14ac:dyDescent="0.3">
      <c r="A33" s="294" t="s">
        <v>210</v>
      </c>
      <c r="B33" s="294" t="s">
        <v>211</v>
      </c>
      <c r="C33" s="294" t="s">
        <v>27</v>
      </c>
      <c r="D33" s="294" t="s">
        <v>212</v>
      </c>
      <c r="E33" s="208"/>
      <c r="F33" s="24">
        <f t="shared" ref="F33" si="7">E33/12</f>
        <v>0</v>
      </c>
      <c r="G33" s="249">
        <f t="shared" ref="G33:G34" si="8">ROUNDUP(F33,0)</f>
        <v>0</v>
      </c>
      <c r="H33" s="101">
        <f t="shared" ref="H33" si="9">IF(G33=0,0,E33/G33)</f>
        <v>0</v>
      </c>
      <c r="I33" s="79"/>
      <c r="J33" s="226">
        <f>I33*2*normuren!$B$26</f>
        <v>0</v>
      </c>
      <c r="K33" s="227">
        <f>IF(G33&lt;3,normuren!$B$8,IF(AND(G33&lt;6,G33&gt;2),normuren!$B$9,IF(AND(G33&lt;9,G33&gt;5),normuren!$B$10,normuren!$B$11)))</f>
        <v>15</v>
      </c>
      <c r="L33" s="228">
        <f>normuren!$B$24*2*12</f>
        <v>36</v>
      </c>
      <c r="M33" s="228">
        <f>normuren!$B$25*2*12</f>
        <v>45.599999999999994</v>
      </c>
      <c r="N33" s="250">
        <f>normuren!$B$29</f>
        <v>1.5</v>
      </c>
      <c r="O33" s="115" t="s">
        <v>696</v>
      </c>
      <c r="P33" s="286"/>
      <c r="Q33" s="119"/>
      <c r="R33" s="119"/>
      <c r="S33" s="119"/>
      <c r="T33" s="119"/>
      <c r="U33" s="115"/>
      <c r="V33" s="115"/>
      <c r="W33" s="286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286"/>
      <c r="AM33" s="286"/>
      <c r="AN33" s="115"/>
      <c r="AO33" s="115"/>
      <c r="AP33" s="115"/>
      <c r="AQ33" s="115"/>
      <c r="AR33" s="286"/>
      <c r="AS33" s="115"/>
      <c r="AT33" s="115"/>
      <c r="AU33" s="115"/>
      <c r="AV33" s="115"/>
      <c r="AW33" s="115"/>
      <c r="AX33" s="115"/>
      <c r="AY33" s="115"/>
      <c r="AZ33" s="115"/>
      <c r="BA33" s="115"/>
      <c r="BB33" s="288">
        <v>1</v>
      </c>
      <c r="BC33" s="115"/>
      <c r="BD33" s="115"/>
      <c r="BE33" s="115"/>
      <c r="BF33" s="115"/>
      <c r="BG33" s="115"/>
      <c r="BH33" s="115"/>
      <c r="BI33" s="115"/>
      <c r="BJ33" s="286"/>
      <c r="BK33" s="224">
        <f t="shared" si="2"/>
        <v>1</v>
      </c>
      <c r="BL33" s="224">
        <f t="shared" si="3"/>
        <v>-1</v>
      </c>
      <c r="BM33" s="209" t="str">
        <f t="shared" ref="BM33" si="10">IF(BL33&gt;0,"Problem","Oke")</f>
        <v>Oke</v>
      </c>
    </row>
    <row r="34" spans="1:65" ht="12.75" customHeight="1" x14ac:dyDescent="0.3">
      <c r="A34" s="203" t="s">
        <v>492</v>
      </c>
      <c r="B34" s="203" t="s">
        <v>433</v>
      </c>
      <c r="C34" s="203" t="s">
        <v>246</v>
      </c>
      <c r="D34" s="203" t="s">
        <v>216</v>
      </c>
      <c r="E34" s="208"/>
      <c r="F34" s="24">
        <f t="shared" si="6"/>
        <v>0</v>
      </c>
      <c r="G34" s="249">
        <f t="shared" si="8"/>
        <v>0</v>
      </c>
      <c r="H34" s="101">
        <f t="shared" si="1"/>
        <v>0</v>
      </c>
      <c r="I34" s="79"/>
      <c r="J34" s="226">
        <f>I34*2*normuren!$B$26</f>
        <v>0</v>
      </c>
      <c r="K34" s="227">
        <f>IF(G34&lt;3,normuren!$B$8,IF(AND(G34&lt;6,G34&gt;2),normuren!$B$9,IF(AND(G34&lt;9,G34&gt;5),normuren!$B$10,normuren!$B$11)))</f>
        <v>15</v>
      </c>
      <c r="L34" s="228">
        <f>normuren!$B$24*2*12</f>
        <v>36</v>
      </c>
      <c r="M34" s="228">
        <f>normuren!$B$25*2*12</f>
        <v>45.599999999999994</v>
      </c>
      <c r="N34" s="250">
        <f>normuren!$B$29</f>
        <v>1.5</v>
      </c>
      <c r="O34" s="115"/>
      <c r="P34" s="286"/>
      <c r="Q34" s="119"/>
      <c r="R34" s="119"/>
      <c r="S34" s="119"/>
      <c r="T34" s="119"/>
      <c r="U34" s="115"/>
      <c r="V34" s="115"/>
      <c r="W34" s="286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286"/>
      <c r="AM34" s="286"/>
      <c r="AN34" s="115"/>
      <c r="AO34" s="115"/>
      <c r="AP34" s="115"/>
      <c r="AQ34" s="115"/>
      <c r="AR34" s="286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286"/>
      <c r="BK34" s="224">
        <f t="shared" si="2"/>
        <v>0</v>
      </c>
      <c r="BL34" s="224">
        <f t="shared" si="3"/>
        <v>0</v>
      </c>
      <c r="BM34" s="209" t="str">
        <f t="shared" si="4"/>
        <v>Oke</v>
      </c>
    </row>
    <row r="35" spans="1:65" ht="12.75" customHeight="1" x14ac:dyDescent="0.3">
      <c r="A35" s="203" t="s">
        <v>603</v>
      </c>
      <c r="B35" s="203" t="s">
        <v>639</v>
      </c>
      <c r="C35" s="203" t="s">
        <v>246</v>
      </c>
      <c r="D35" s="203" t="s">
        <v>609</v>
      </c>
      <c r="E35" s="208"/>
      <c r="F35" s="24">
        <f t="shared" si="6"/>
        <v>0</v>
      </c>
      <c r="G35" s="249">
        <f t="shared" si="0"/>
        <v>0</v>
      </c>
      <c r="H35" s="101">
        <f t="shared" si="1"/>
        <v>0</v>
      </c>
      <c r="I35" s="79"/>
      <c r="J35" s="226">
        <f>I35*2*normuren!$B$26</f>
        <v>0</v>
      </c>
      <c r="K35" s="227">
        <f>IF(G35&lt;3,normuren!$B$8,IF(AND(G35&lt;6,G35&gt;2),normuren!$B$9,IF(AND(G35&lt;9,G35&gt;5),normuren!$B$10,normuren!$B$11)))</f>
        <v>15</v>
      </c>
      <c r="L35" s="228">
        <f>normuren!$B$24*2*12</f>
        <v>36</v>
      </c>
      <c r="M35" s="228">
        <f>normuren!$B$25*2*12</f>
        <v>45.599999999999994</v>
      </c>
      <c r="N35" s="250">
        <f>normuren!$B$29</f>
        <v>1.5</v>
      </c>
      <c r="O35" s="115"/>
      <c r="P35" s="286"/>
      <c r="Q35" s="119"/>
      <c r="R35" s="119"/>
      <c r="S35" s="119"/>
      <c r="T35" s="173"/>
      <c r="U35" s="115"/>
      <c r="V35" s="115"/>
      <c r="W35" s="286"/>
      <c r="X35" s="115"/>
      <c r="Y35" s="115"/>
      <c r="Z35" s="115"/>
      <c r="AA35" s="173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286"/>
      <c r="AM35" s="286"/>
      <c r="AN35" s="115"/>
      <c r="AO35" s="115"/>
      <c r="AP35" s="115"/>
      <c r="AQ35" s="115"/>
      <c r="AR35" s="286"/>
      <c r="AS35" s="173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286"/>
      <c r="BK35" s="224">
        <f t="shared" si="2"/>
        <v>0</v>
      </c>
      <c r="BL35" s="224">
        <f t="shared" si="3"/>
        <v>0</v>
      </c>
      <c r="BM35" s="209" t="str">
        <f t="shared" si="4"/>
        <v>Oke</v>
      </c>
    </row>
    <row r="36" spans="1:65" ht="12.75" customHeight="1" x14ac:dyDescent="0.3">
      <c r="A36" s="203" t="s">
        <v>217</v>
      </c>
      <c r="B36" s="203" t="s">
        <v>218</v>
      </c>
      <c r="C36" s="203" t="s">
        <v>248</v>
      </c>
      <c r="D36" s="203" t="s">
        <v>658</v>
      </c>
      <c r="E36" s="208"/>
      <c r="F36" s="24">
        <f t="shared" si="6"/>
        <v>0</v>
      </c>
      <c r="G36" s="249">
        <f t="shared" si="0"/>
        <v>0</v>
      </c>
      <c r="H36" s="101">
        <f t="shared" si="1"/>
        <v>0</v>
      </c>
      <c r="I36" s="79"/>
      <c r="J36" s="226">
        <f>I36*2*normuren!$B$26</f>
        <v>0</v>
      </c>
      <c r="K36" s="227">
        <f>IF(G36&lt;3,normuren!$B$8,IF(AND(G36&lt;6,G36&gt;2),normuren!$B$9,IF(AND(G36&lt;9,G36&gt;5),normuren!$B$10,normuren!$B$11)))</f>
        <v>15</v>
      </c>
      <c r="L36" s="228">
        <f>normuren!$B$24*2*12</f>
        <v>36</v>
      </c>
      <c r="M36" s="228">
        <f>normuren!$B$25*2*12</f>
        <v>45.599999999999994</v>
      </c>
      <c r="N36" s="250">
        <f>normuren!$B$29</f>
        <v>1.5</v>
      </c>
      <c r="O36" s="115" t="s">
        <v>696</v>
      </c>
      <c r="P36" s="286"/>
      <c r="Q36" s="119"/>
      <c r="R36" s="119"/>
      <c r="S36" s="119"/>
      <c r="T36" s="119"/>
      <c r="U36" s="115"/>
      <c r="V36" s="115"/>
      <c r="W36" s="286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286"/>
      <c r="AM36" s="286"/>
      <c r="AN36" s="115"/>
      <c r="AO36" s="115"/>
      <c r="AP36" s="115"/>
      <c r="AQ36" s="115"/>
      <c r="AR36" s="286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286"/>
      <c r="BK36" s="224">
        <f t="shared" si="2"/>
        <v>0</v>
      </c>
      <c r="BL36" s="224">
        <f t="shared" si="3"/>
        <v>0</v>
      </c>
      <c r="BM36" s="209" t="str">
        <f t="shared" si="4"/>
        <v>Oke</v>
      </c>
    </row>
    <row r="37" spans="1:65" ht="12.75" customHeight="1" x14ac:dyDescent="0.3">
      <c r="A37" s="203" t="s">
        <v>219</v>
      </c>
      <c r="B37" s="203" t="s">
        <v>220</v>
      </c>
      <c r="C37" s="203" t="s">
        <v>249</v>
      </c>
      <c r="D37" s="203" t="s">
        <v>221</v>
      </c>
      <c r="E37" s="208"/>
      <c r="F37" s="24">
        <f t="shared" si="6"/>
        <v>0</v>
      </c>
      <c r="G37" s="249">
        <f t="shared" si="0"/>
        <v>0</v>
      </c>
      <c r="H37" s="101">
        <f t="shared" si="1"/>
        <v>0</v>
      </c>
      <c r="I37" s="79"/>
      <c r="J37" s="226">
        <f>I37*2*normuren!$B$26</f>
        <v>0</v>
      </c>
      <c r="K37" s="227">
        <f>IF(G37&lt;3,normuren!$B$8,IF(AND(G37&lt;6,G37&gt;2),normuren!$B$9,IF(AND(G37&lt;9,G37&gt;5),normuren!$B$10,normuren!$B$11)))</f>
        <v>15</v>
      </c>
      <c r="L37" s="228">
        <f>normuren!$B$24*2*12</f>
        <v>36</v>
      </c>
      <c r="M37" s="228">
        <f>normuren!$B$25*2*12</f>
        <v>45.599999999999994</v>
      </c>
      <c r="N37" s="250">
        <f>normuren!$B$29</f>
        <v>1.5</v>
      </c>
      <c r="O37" s="115"/>
      <c r="P37" s="286"/>
      <c r="Q37" s="119"/>
      <c r="R37" s="119"/>
      <c r="S37" s="119"/>
      <c r="T37" s="119"/>
      <c r="U37" s="115"/>
      <c r="V37" s="115"/>
      <c r="W37" s="286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286"/>
      <c r="AM37" s="286"/>
      <c r="AN37" s="115"/>
      <c r="AO37" s="115"/>
      <c r="AP37" s="115"/>
      <c r="AQ37" s="115"/>
      <c r="AR37" s="286"/>
      <c r="AS37" s="115"/>
      <c r="AT37" s="115"/>
      <c r="AU37" s="173"/>
      <c r="AV37" s="173"/>
      <c r="AW37" s="173"/>
      <c r="AX37" s="173"/>
      <c r="AY37" s="173"/>
      <c r="AZ37" s="173"/>
      <c r="BA37" s="173"/>
      <c r="BB37" s="173"/>
      <c r="BC37" s="173"/>
      <c r="BD37" s="173"/>
      <c r="BE37" s="173"/>
      <c r="BF37" s="115"/>
      <c r="BG37" s="115"/>
      <c r="BH37" s="115"/>
      <c r="BI37" s="115"/>
      <c r="BJ37" s="286"/>
      <c r="BK37" s="224">
        <f t="shared" ref="BK37:BK58" si="11">SUM(O37:BJ37)</f>
        <v>0</v>
      </c>
      <c r="BL37" s="224">
        <f t="shared" ref="BL37:BL68" si="12">G37-BK37</f>
        <v>0</v>
      </c>
      <c r="BM37" s="209" t="str">
        <f t="shared" si="4"/>
        <v>Oke</v>
      </c>
    </row>
    <row r="38" spans="1:65" ht="12.75" customHeight="1" x14ac:dyDescent="0.3">
      <c r="A38" s="203" t="s">
        <v>493</v>
      </c>
      <c r="B38" s="203" t="s">
        <v>434</v>
      </c>
      <c r="C38" s="203" t="s">
        <v>248</v>
      </c>
      <c r="D38" s="203" t="s">
        <v>463</v>
      </c>
      <c r="E38" s="208"/>
      <c r="F38" s="24">
        <f t="shared" si="6"/>
        <v>0</v>
      </c>
      <c r="G38" s="249">
        <f t="shared" si="0"/>
        <v>0</v>
      </c>
      <c r="H38" s="101">
        <f t="shared" si="1"/>
        <v>0</v>
      </c>
      <c r="I38" s="79"/>
      <c r="J38" s="226">
        <f>I38*2*normuren!$B$26</f>
        <v>0</v>
      </c>
      <c r="K38" s="227">
        <f>IF(G38&lt;3,normuren!$B$8,IF(AND(G38&lt;6,G38&gt;2),normuren!$B$9,IF(AND(G38&lt;9,G38&gt;5),normuren!$B$10,normuren!$B$11)))</f>
        <v>15</v>
      </c>
      <c r="L38" s="228">
        <f>normuren!$B$24*2*12</f>
        <v>36</v>
      </c>
      <c r="M38" s="228">
        <f>normuren!$B$25*2*12</f>
        <v>45.599999999999994</v>
      </c>
      <c r="N38" s="250">
        <f>normuren!$B$29</f>
        <v>1.5</v>
      </c>
      <c r="O38" s="115"/>
      <c r="P38" s="286"/>
      <c r="Q38" s="119"/>
      <c r="R38" s="119"/>
      <c r="S38" s="119"/>
      <c r="T38" s="119"/>
      <c r="U38" s="115"/>
      <c r="V38" s="115"/>
      <c r="W38" s="286"/>
      <c r="X38" s="115"/>
      <c r="Y38" s="115"/>
      <c r="Z38" s="284" t="s">
        <v>717</v>
      </c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287"/>
      <c r="AM38" s="286"/>
      <c r="AN38" s="115"/>
      <c r="AO38" s="115"/>
      <c r="AP38" s="115"/>
      <c r="AQ38" s="115"/>
      <c r="AR38" s="286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286"/>
      <c r="BK38" s="224">
        <f t="shared" si="11"/>
        <v>0</v>
      </c>
      <c r="BL38" s="224">
        <f t="shared" si="12"/>
        <v>0</v>
      </c>
      <c r="BM38" s="209" t="str">
        <f t="shared" si="4"/>
        <v>Oke</v>
      </c>
    </row>
    <row r="39" spans="1:65" ht="12.75" customHeight="1" x14ac:dyDescent="0.3">
      <c r="A39" s="204" t="s">
        <v>435</v>
      </c>
      <c r="B39" s="204" t="s">
        <v>436</v>
      </c>
      <c r="C39" s="204" t="s">
        <v>250</v>
      </c>
      <c r="D39" s="204" t="s">
        <v>464</v>
      </c>
      <c r="E39" s="208"/>
      <c r="F39" s="24">
        <f t="shared" si="6"/>
        <v>0</v>
      </c>
      <c r="G39" s="249">
        <f t="shared" si="0"/>
        <v>0</v>
      </c>
      <c r="H39" s="101">
        <f t="shared" si="1"/>
        <v>0</v>
      </c>
      <c r="I39" s="79"/>
      <c r="J39" s="226">
        <f>I39*2*normuren!$B$26</f>
        <v>0</v>
      </c>
      <c r="K39" s="227">
        <f>IF(G39&lt;3,normuren!$B$8,IF(AND(G39&lt;6,G39&gt;2),normuren!$B$9,IF(AND(G39&lt;9,G39&gt;5),normuren!$B$10,normuren!$B$11)))</f>
        <v>15</v>
      </c>
      <c r="L39" s="228">
        <f>normuren!$B$24*2*12</f>
        <v>36</v>
      </c>
      <c r="M39" s="228">
        <f>normuren!$B$25*2*12</f>
        <v>45.599999999999994</v>
      </c>
      <c r="N39" s="250">
        <f>normuren!$B$29</f>
        <v>1.5</v>
      </c>
      <c r="O39" s="115"/>
      <c r="P39" s="286"/>
      <c r="Q39" s="119"/>
      <c r="R39" s="119"/>
      <c r="S39" s="119"/>
      <c r="T39" s="119"/>
      <c r="U39" s="119"/>
      <c r="V39" s="173"/>
      <c r="W39" s="287"/>
      <c r="X39" s="173"/>
      <c r="Y39" s="115"/>
      <c r="Z39" s="115"/>
      <c r="AA39" s="173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286"/>
      <c r="AM39" s="286"/>
      <c r="AN39" s="115"/>
      <c r="AO39" s="115"/>
      <c r="AP39" s="115"/>
      <c r="AQ39" s="115"/>
      <c r="AR39" s="286"/>
      <c r="AS39" s="173"/>
      <c r="AT39" s="173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286"/>
      <c r="BK39" s="224">
        <f t="shared" si="11"/>
        <v>0</v>
      </c>
      <c r="BL39" s="224">
        <f t="shared" si="12"/>
        <v>0</v>
      </c>
      <c r="BM39" s="209" t="str">
        <f t="shared" si="4"/>
        <v>Oke</v>
      </c>
    </row>
    <row r="40" spans="1:65" ht="12.75" customHeight="1" x14ac:dyDescent="0.3">
      <c r="A40" s="203" t="s">
        <v>437</v>
      </c>
      <c r="B40" s="203" t="s">
        <v>438</v>
      </c>
      <c r="C40" s="203" t="s">
        <v>250</v>
      </c>
      <c r="D40" s="203" t="s">
        <v>465</v>
      </c>
      <c r="E40" s="208"/>
      <c r="F40" s="24">
        <f t="shared" si="6"/>
        <v>0</v>
      </c>
      <c r="G40" s="249">
        <f t="shared" si="0"/>
        <v>0</v>
      </c>
      <c r="H40" s="101">
        <f t="shared" si="1"/>
        <v>0</v>
      </c>
      <c r="I40" s="79"/>
      <c r="J40" s="226">
        <f>I40*2*normuren!$B$26</f>
        <v>0</v>
      </c>
      <c r="K40" s="227">
        <f>IF(G40&lt;3,normuren!$B$8,IF(AND(G40&lt;6,G40&gt;2),normuren!$B$9,IF(AND(G40&lt;9,G40&gt;5),normuren!$B$10,normuren!$B$11)))</f>
        <v>15</v>
      </c>
      <c r="L40" s="228">
        <f>normuren!$B$24*2*12</f>
        <v>36</v>
      </c>
      <c r="M40" s="228">
        <f>normuren!$B$25*2*12</f>
        <v>45.599999999999994</v>
      </c>
      <c r="N40" s="250">
        <f>normuren!$B$29</f>
        <v>1.5</v>
      </c>
      <c r="O40" s="115"/>
      <c r="P40" s="286"/>
      <c r="Q40" s="119"/>
      <c r="R40" s="119"/>
      <c r="S40" s="119"/>
      <c r="T40" s="119"/>
      <c r="U40" s="115"/>
      <c r="V40" s="115"/>
      <c r="W40" s="286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286"/>
      <c r="AM40" s="286"/>
      <c r="AN40" s="115"/>
      <c r="AO40" s="115"/>
      <c r="AP40" s="115"/>
      <c r="AQ40" s="115"/>
      <c r="AR40" s="286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286"/>
      <c r="BK40" s="224">
        <f t="shared" si="11"/>
        <v>0</v>
      </c>
      <c r="BL40" s="224">
        <f t="shared" si="12"/>
        <v>0</v>
      </c>
      <c r="BM40" s="209" t="str">
        <f t="shared" si="4"/>
        <v>Oke</v>
      </c>
    </row>
    <row r="41" spans="1:65" ht="12.75" customHeight="1" x14ac:dyDescent="0.3">
      <c r="A41" s="203" t="s">
        <v>439</v>
      </c>
      <c r="B41" s="203" t="s">
        <v>440</v>
      </c>
      <c r="C41" s="203" t="s">
        <v>250</v>
      </c>
      <c r="D41" s="203" t="s">
        <v>466</v>
      </c>
      <c r="E41" s="208"/>
      <c r="F41" s="24">
        <f t="shared" si="6"/>
        <v>0</v>
      </c>
      <c r="G41" s="249">
        <f t="shared" si="0"/>
        <v>0</v>
      </c>
      <c r="H41" s="101">
        <f t="shared" si="1"/>
        <v>0</v>
      </c>
      <c r="I41" s="79"/>
      <c r="J41" s="226">
        <f>I41*2*normuren!$B$26</f>
        <v>0</v>
      </c>
      <c r="K41" s="227">
        <f>IF(G41&lt;3,normuren!$B$8,IF(AND(G41&lt;6,G41&gt;2),normuren!$B$9,IF(AND(G41&lt;9,G41&gt;5),normuren!$B$10,normuren!$B$11)))</f>
        <v>15</v>
      </c>
      <c r="L41" s="228">
        <f>normuren!$B$24*2*12</f>
        <v>36</v>
      </c>
      <c r="M41" s="228">
        <f>normuren!$B$25*2*12</f>
        <v>45.599999999999994</v>
      </c>
      <c r="N41" s="250">
        <f>normuren!$B$29</f>
        <v>1.5</v>
      </c>
      <c r="O41" s="173"/>
      <c r="P41" s="287"/>
      <c r="Q41" s="119"/>
      <c r="R41" s="119"/>
      <c r="S41" s="119"/>
      <c r="T41" s="119"/>
      <c r="U41" s="115"/>
      <c r="V41" s="115"/>
      <c r="W41" s="286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286"/>
      <c r="AM41" s="286"/>
      <c r="AN41" s="115"/>
      <c r="AO41" s="115"/>
      <c r="AP41" s="115"/>
      <c r="AQ41" s="115"/>
      <c r="AR41" s="286"/>
      <c r="AS41" s="115"/>
      <c r="AT41" s="173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286"/>
      <c r="BK41" s="224">
        <f t="shared" si="11"/>
        <v>0</v>
      </c>
      <c r="BL41" s="224">
        <f t="shared" si="12"/>
        <v>0</v>
      </c>
      <c r="BM41" s="209" t="str">
        <f t="shared" si="4"/>
        <v>Oke</v>
      </c>
    </row>
    <row r="42" spans="1:65" ht="12.75" customHeight="1" x14ac:dyDescent="0.3">
      <c r="A42" s="203" t="s">
        <v>494</v>
      </c>
      <c r="B42" s="203" t="s">
        <v>441</v>
      </c>
      <c r="C42" s="203" t="s">
        <v>249</v>
      </c>
      <c r="D42" s="203" t="s">
        <v>226</v>
      </c>
      <c r="E42" s="208"/>
      <c r="F42" s="24">
        <f t="shared" si="6"/>
        <v>0</v>
      </c>
      <c r="G42" s="249">
        <f t="shared" si="0"/>
        <v>0</v>
      </c>
      <c r="H42" s="101">
        <f t="shared" si="1"/>
        <v>0</v>
      </c>
      <c r="I42" s="79"/>
      <c r="J42" s="226">
        <f>I42*2*normuren!$B$26</f>
        <v>0</v>
      </c>
      <c r="K42" s="227">
        <f>IF(G42&lt;3,normuren!$B$8,IF(AND(G42&lt;6,G42&gt;2),normuren!$B$9,IF(AND(G42&lt;9,G42&gt;5),normuren!$B$10,normuren!$B$11)))</f>
        <v>15</v>
      </c>
      <c r="L42" s="228">
        <f>normuren!$B$24*2*12</f>
        <v>36</v>
      </c>
      <c r="M42" s="228">
        <f>normuren!$B$25*2*12</f>
        <v>45.599999999999994</v>
      </c>
      <c r="N42" s="250">
        <f>normuren!$B$29</f>
        <v>1.5</v>
      </c>
      <c r="O42" s="115"/>
      <c r="P42" s="286"/>
      <c r="Q42" s="119"/>
      <c r="R42" s="119"/>
      <c r="S42" s="119"/>
      <c r="T42" s="119"/>
      <c r="U42" s="115"/>
      <c r="V42" s="115"/>
      <c r="W42" s="286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286"/>
      <c r="AM42" s="286"/>
      <c r="AN42" s="115"/>
      <c r="AO42" s="115"/>
      <c r="AP42" s="115"/>
      <c r="AQ42" s="115"/>
      <c r="AR42" s="286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286"/>
      <c r="BK42" s="224">
        <f t="shared" si="11"/>
        <v>0</v>
      </c>
      <c r="BL42" s="224">
        <f t="shared" si="12"/>
        <v>0</v>
      </c>
      <c r="BM42" s="209" t="str">
        <f t="shared" si="4"/>
        <v>Oke</v>
      </c>
    </row>
    <row r="43" spans="1:65" ht="12.75" customHeight="1" x14ac:dyDescent="0.3">
      <c r="A43" s="294" t="s">
        <v>495</v>
      </c>
      <c r="B43" s="294" t="s">
        <v>442</v>
      </c>
      <c r="C43" s="294" t="s">
        <v>27</v>
      </c>
      <c r="D43" s="294" t="s">
        <v>467</v>
      </c>
      <c r="E43" s="208"/>
      <c r="F43" s="24">
        <f>$E43/12</f>
        <v>0</v>
      </c>
      <c r="G43" s="249">
        <f t="shared" si="0"/>
        <v>0</v>
      </c>
      <c r="H43" s="101">
        <f t="shared" si="1"/>
        <v>0</v>
      </c>
      <c r="I43" s="79"/>
      <c r="J43" s="226">
        <f>I43*2*normuren!$B$26</f>
        <v>0</v>
      </c>
      <c r="K43" s="227">
        <f>IF(G43&lt;3,normuren!$B$8,IF(AND(G43&lt;6,G43&gt;2),normuren!$B$9,IF(AND(G43&lt;9,G43&gt;5),normuren!$B$10,normuren!$B$11)))</f>
        <v>15</v>
      </c>
      <c r="L43" s="228">
        <f>normuren!$B$27</f>
        <v>20</v>
      </c>
      <c r="M43" s="228">
        <v>20</v>
      </c>
      <c r="N43" s="250">
        <f>normuren!$B$29</f>
        <v>1.5</v>
      </c>
      <c r="O43" s="176"/>
      <c r="P43" s="304"/>
      <c r="Q43" s="119"/>
      <c r="R43" s="119"/>
      <c r="S43" s="267">
        <v>2</v>
      </c>
      <c r="T43" s="119"/>
      <c r="U43" s="115"/>
      <c r="V43" s="115"/>
      <c r="W43" s="286"/>
      <c r="X43" s="115"/>
      <c r="Y43" s="115"/>
      <c r="Z43" s="115"/>
      <c r="AA43" s="115"/>
      <c r="AB43" s="115"/>
      <c r="AC43" s="115"/>
      <c r="AD43" s="115"/>
      <c r="AE43" s="115"/>
      <c r="AF43" s="115"/>
      <c r="AG43" s="173"/>
      <c r="AH43" s="115"/>
      <c r="AI43" s="115"/>
      <c r="AJ43" s="115"/>
      <c r="AK43" s="115"/>
      <c r="AL43" s="286"/>
      <c r="AM43" s="286"/>
      <c r="AN43" s="115"/>
      <c r="AO43" s="115"/>
      <c r="AP43" s="115"/>
      <c r="AQ43" s="115"/>
      <c r="AR43" s="286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286"/>
      <c r="BK43" s="224">
        <f t="shared" si="11"/>
        <v>2</v>
      </c>
      <c r="BL43" s="224">
        <f t="shared" si="12"/>
        <v>-2</v>
      </c>
      <c r="BM43" s="209" t="str">
        <f t="shared" si="4"/>
        <v>Oke</v>
      </c>
    </row>
    <row r="44" spans="1:65" ht="12.75" customHeight="1" x14ac:dyDescent="0.3">
      <c r="A44" s="294" t="s">
        <v>496</v>
      </c>
      <c r="B44" s="294" t="s">
        <v>443</v>
      </c>
      <c r="C44" s="294" t="s">
        <v>27</v>
      </c>
      <c r="D44" s="294" t="s">
        <v>224</v>
      </c>
      <c r="E44" s="208"/>
      <c r="F44" s="24">
        <f>$E44/12</f>
        <v>0</v>
      </c>
      <c r="G44" s="249">
        <f t="shared" si="0"/>
        <v>0</v>
      </c>
      <c r="H44" s="101">
        <f t="shared" si="1"/>
        <v>0</v>
      </c>
      <c r="I44" s="79"/>
      <c r="J44" s="226">
        <f>I44*2*normuren!$B$26</f>
        <v>0</v>
      </c>
      <c r="K44" s="227">
        <f>IF(G44&lt;3,normuren!$B$8,IF(AND(G44&lt;6,G44&gt;2),normuren!$B$9,IF(AND(G44&lt;9,G44&gt;5),normuren!$B$10,normuren!$B$11)))</f>
        <v>15</v>
      </c>
      <c r="L44" s="228">
        <f>normuren!$B$27</f>
        <v>20</v>
      </c>
      <c r="M44" s="228">
        <v>20</v>
      </c>
      <c r="N44" s="250">
        <f>normuren!$B$29</f>
        <v>1.5</v>
      </c>
      <c r="O44" s="115"/>
      <c r="P44" s="286"/>
      <c r="Q44" s="119"/>
      <c r="R44" s="119"/>
      <c r="S44" s="119"/>
      <c r="T44" s="119"/>
      <c r="U44" s="115"/>
      <c r="V44" s="115"/>
      <c r="W44" s="286"/>
      <c r="X44" s="115"/>
      <c r="Y44" s="115"/>
      <c r="Z44" s="115"/>
      <c r="AA44" s="288">
        <v>2</v>
      </c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286"/>
      <c r="AM44" s="286"/>
      <c r="AN44" s="115"/>
      <c r="AO44" s="115"/>
      <c r="AP44" s="115"/>
      <c r="AQ44" s="115"/>
      <c r="AR44" s="286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286"/>
      <c r="BK44" s="224">
        <f t="shared" si="11"/>
        <v>2</v>
      </c>
      <c r="BL44" s="224">
        <f t="shared" si="12"/>
        <v>-2</v>
      </c>
      <c r="BM44" s="209" t="str">
        <f t="shared" si="4"/>
        <v>Oke</v>
      </c>
    </row>
    <row r="45" spans="1:65" ht="12.75" customHeight="1" x14ac:dyDescent="0.3">
      <c r="A45" s="203" t="s">
        <v>497</v>
      </c>
      <c r="B45" s="203" t="s">
        <v>444</v>
      </c>
      <c r="C45" s="203" t="s">
        <v>249</v>
      </c>
      <c r="D45" s="204" t="s">
        <v>468</v>
      </c>
      <c r="E45" s="208"/>
      <c r="F45" s="24">
        <f t="shared" ref="F45:F58" si="13">$E45/12</f>
        <v>0</v>
      </c>
      <c r="G45" s="249">
        <f t="shared" ref="G45:G57" si="14">ROUNDUP(F45,0)</f>
        <v>0</v>
      </c>
      <c r="H45" s="101">
        <f t="shared" ref="H45:H57" si="15">IF(G45=0,0,E45/G45)</f>
        <v>0</v>
      </c>
      <c r="I45" s="79"/>
      <c r="J45" s="226">
        <f>I45*2*normuren!$B$26</f>
        <v>0</v>
      </c>
      <c r="K45" s="227">
        <f>IF(G45&lt;3,normuren!$B$8,IF(AND(G45&lt;6,G45&gt;2),normuren!$B$9,IF(AND(G45&lt;9,G45&gt;5),normuren!$B$10,normuren!$B$11)))</f>
        <v>15</v>
      </c>
      <c r="L45" s="228">
        <f>normuren!$B$27</f>
        <v>20</v>
      </c>
      <c r="M45" s="228">
        <v>21</v>
      </c>
      <c r="N45" s="250">
        <f>normuren!$B$29</f>
        <v>1.5</v>
      </c>
      <c r="O45" s="115"/>
      <c r="P45" s="286"/>
      <c r="Q45" s="119"/>
      <c r="R45" s="119"/>
      <c r="S45" s="119"/>
      <c r="T45" s="119"/>
      <c r="U45" s="115"/>
      <c r="V45" s="115"/>
      <c r="W45" s="286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286"/>
      <c r="AM45" s="286"/>
      <c r="AN45" s="115"/>
      <c r="AO45" s="115"/>
      <c r="AP45" s="115"/>
      <c r="AQ45" s="115"/>
      <c r="AR45" s="286"/>
      <c r="AS45" s="115"/>
      <c r="AT45" s="115"/>
      <c r="AU45" s="211"/>
      <c r="AV45" s="211"/>
      <c r="AW45" s="211"/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85"/>
      <c r="BK45" s="224">
        <f t="shared" si="11"/>
        <v>0</v>
      </c>
      <c r="BL45" s="224">
        <f t="shared" si="12"/>
        <v>0</v>
      </c>
      <c r="BM45" s="209" t="str">
        <f t="shared" ref="BM45:BM57" si="16">IF(BL45&gt;0,"Problem","Oke")</f>
        <v>Oke</v>
      </c>
    </row>
    <row r="46" spans="1:65" ht="12.75" customHeight="1" x14ac:dyDescent="0.3">
      <c r="A46" s="203" t="s">
        <v>498</v>
      </c>
      <c r="B46" s="203" t="s">
        <v>445</v>
      </c>
      <c r="C46" s="203" t="s">
        <v>248</v>
      </c>
      <c r="D46" s="203" t="s">
        <v>469</v>
      </c>
      <c r="E46" s="208"/>
      <c r="F46" s="24">
        <f t="shared" si="13"/>
        <v>0</v>
      </c>
      <c r="G46" s="249">
        <f t="shared" si="14"/>
        <v>0</v>
      </c>
      <c r="H46" s="101">
        <f t="shared" si="15"/>
        <v>0</v>
      </c>
      <c r="I46" s="79"/>
      <c r="J46" s="226">
        <f>I46*2*normuren!$B$26</f>
        <v>0</v>
      </c>
      <c r="K46" s="227">
        <f>IF(G46&lt;3,normuren!$B$8,IF(AND(G46&lt;6,G46&gt;2),normuren!$B$9,IF(AND(G46&lt;9,G46&gt;5),normuren!$B$10,normuren!$B$11)))</f>
        <v>15</v>
      </c>
      <c r="L46" s="228">
        <f>normuren!$B$27</f>
        <v>20</v>
      </c>
      <c r="M46" s="228">
        <v>22</v>
      </c>
      <c r="N46" s="250">
        <f>normuren!$B$29</f>
        <v>1.5</v>
      </c>
      <c r="O46" s="115"/>
      <c r="P46" s="286"/>
      <c r="Q46" s="119"/>
      <c r="R46" s="119"/>
      <c r="S46" s="119"/>
      <c r="T46" s="119"/>
      <c r="U46" s="115"/>
      <c r="V46" s="115"/>
      <c r="W46" s="286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286"/>
      <c r="AM46" s="286"/>
      <c r="AN46" s="115"/>
      <c r="AO46" s="115"/>
      <c r="AP46" s="115"/>
      <c r="AQ46" s="115"/>
      <c r="AR46" s="286"/>
      <c r="AS46" s="115"/>
      <c r="AT46" s="115"/>
      <c r="AU46" s="211"/>
      <c r="AV46" s="211"/>
      <c r="AW46" s="211"/>
      <c r="AX46" s="211"/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85"/>
      <c r="BK46" s="224">
        <f t="shared" si="11"/>
        <v>0</v>
      </c>
      <c r="BL46" s="224">
        <f t="shared" si="12"/>
        <v>0</v>
      </c>
      <c r="BM46" s="209" t="str">
        <f t="shared" si="16"/>
        <v>Oke</v>
      </c>
    </row>
    <row r="47" spans="1:65" ht="12.75" customHeight="1" x14ac:dyDescent="0.3">
      <c r="A47" s="203" t="s">
        <v>446</v>
      </c>
      <c r="B47" s="203" t="s">
        <v>447</v>
      </c>
      <c r="C47" s="203" t="s">
        <v>250</v>
      </c>
      <c r="D47" s="203" t="s">
        <v>640</v>
      </c>
      <c r="E47" s="208"/>
      <c r="F47" s="24">
        <f t="shared" si="13"/>
        <v>0</v>
      </c>
      <c r="G47" s="249">
        <f t="shared" si="14"/>
        <v>0</v>
      </c>
      <c r="H47" s="101">
        <f t="shared" si="15"/>
        <v>0</v>
      </c>
      <c r="I47" s="79"/>
      <c r="J47" s="74">
        <f>I47*2*normuren!$B$26</f>
        <v>0</v>
      </c>
      <c r="K47" s="76">
        <f>IF(G47&lt;3,normuren!$B$8,IF(AND(G47&lt;6,G47&gt;2),normuren!$B$9,IF(AND(G47&lt;9,G47&gt;5),normuren!$B$10,normuren!$B$11)))</f>
        <v>15</v>
      </c>
      <c r="L47" s="75">
        <f>normuren!$B$27</f>
        <v>20</v>
      </c>
      <c r="M47" s="75">
        <v>23</v>
      </c>
      <c r="N47" s="251">
        <f>normuren!$B$29</f>
        <v>1.5</v>
      </c>
      <c r="O47" s="115"/>
      <c r="P47" s="286"/>
      <c r="Q47" s="119"/>
      <c r="R47" s="119"/>
      <c r="S47" s="119"/>
      <c r="T47" s="119"/>
      <c r="U47" s="115"/>
      <c r="V47" s="115"/>
      <c r="W47" s="286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286"/>
      <c r="AM47" s="286"/>
      <c r="AN47" s="115"/>
      <c r="AO47" s="115"/>
      <c r="AP47" s="115"/>
      <c r="AQ47" s="115"/>
      <c r="AR47" s="286"/>
      <c r="AS47" s="115"/>
      <c r="AT47" s="115"/>
      <c r="AU47" s="211"/>
      <c r="AV47" s="211"/>
      <c r="AW47" s="211"/>
      <c r="AX47" s="211"/>
      <c r="AY47" s="211"/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85"/>
      <c r="BK47" s="224">
        <f t="shared" si="11"/>
        <v>0</v>
      </c>
      <c r="BL47" s="224">
        <f t="shared" si="12"/>
        <v>0</v>
      </c>
      <c r="BM47" s="209" t="str">
        <f t="shared" si="16"/>
        <v>Oke</v>
      </c>
    </row>
    <row r="48" spans="1:65" ht="12.75" customHeight="1" x14ac:dyDescent="0.3">
      <c r="A48" s="301" t="s">
        <v>448</v>
      </c>
      <c r="B48" s="301" t="s">
        <v>449</v>
      </c>
      <c r="C48" s="301" t="s">
        <v>27</v>
      </c>
      <c r="D48" s="301" t="s">
        <v>470</v>
      </c>
      <c r="E48" s="208"/>
      <c r="F48" s="24">
        <f t="shared" si="13"/>
        <v>0</v>
      </c>
      <c r="G48" s="249">
        <f t="shared" si="14"/>
        <v>0</v>
      </c>
      <c r="H48" s="101">
        <f t="shared" si="15"/>
        <v>0</v>
      </c>
      <c r="I48" s="79"/>
      <c r="J48" s="74">
        <f>I48*2*normuren!$B$26</f>
        <v>0</v>
      </c>
      <c r="K48" s="76">
        <f>IF(G48&lt;3,normuren!$B$8,IF(AND(G48&lt;6,G48&gt;2),normuren!$B$9,IF(AND(G48&lt;9,G48&gt;5),normuren!$B$10,normuren!$B$11)))</f>
        <v>15</v>
      </c>
      <c r="L48" s="75">
        <f>normuren!$B$27</f>
        <v>20</v>
      </c>
      <c r="M48" s="75">
        <v>24</v>
      </c>
      <c r="N48" s="251">
        <f>normuren!$B$29</f>
        <v>1.5</v>
      </c>
      <c r="O48" s="115"/>
      <c r="P48" s="286"/>
      <c r="Q48" s="119"/>
      <c r="R48" s="267">
        <v>2</v>
      </c>
      <c r="S48" s="119"/>
      <c r="T48" s="119"/>
      <c r="U48" s="115"/>
      <c r="V48" s="115"/>
      <c r="W48" s="286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286"/>
      <c r="AM48" s="286"/>
      <c r="AN48" s="115"/>
      <c r="AO48" s="115"/>
      <c r="AP48" s="115"/>
      <c r="AQ48" s="115"/>
      <c r="AR48" s="286"/>
      <c r="AS48" s="115"/>
      <c r="AT48" s="115"/>
      <c r="AU48" s="211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  <c r="BF48" s="211"/>
      <c r="BG48" s="211"/>
      <c r="BH48" s="211"/>
      <c r="BI48" s="211"/>
      <c r="BJ48" s="285"/>
      <c r="BK48" s="224">
        <f t="shared" si="11"/>
        <v>2</v>
      </c>
      <c r="BL48" s="224">
        <f t="shared" si="12"/>
        <v>-2</v>
      </c>
      <c r="BM48" s="209" t="str">
        <f t="shared" si="16"/>
        <v>Oke</v>
      </c>
    </row>
    <row r="49" spans="1:65" ht="12.75" customHeight="1" x14ac:dyDescent="0.3">
      <c r="A49" s="203" t="s">
        <v>499</v>
      </c>
      <c r="B49" s="203" t="s">
        <v>450</v>
      </c>
      <c r="C49" s="203" t="s">
        <v>250</v>
      </c>
      <c r="D49" s="203" t="s">
        <v>471</v>
      </c>
      <c r="E49" s="208"/>
      <c r="F49" s="24">
        <f t="shared" si="13"/>
        <v>0</v>
      </c>
      <c r="G49" s="249">
        <f t="shared" si="14"/>
        <v>0</v>
      </c>
      <c r="H49" s="101">
        <f t="shared" si="15"/>
        <v>0</v>
      </c>
      <c r="I49" s="79"/>
      <c r="J49" s="74">
        <f>I49*2*normuren!$B$26</f>
        <v>0</v>
      </c>
      <c r="K49" s="76">
        <f>IF(G49&lt;3,normuren!$B$8,IF(AND(G49&lt;6,G49&gt;2),normuren!$B$9,IF(AND(G49&lt;9,G49&gt;5),normuren!$B$10,normuren!$B$11)))</f>
        <v>15</v>
      </c>
      <c r="L49" s="75">
        <f>normuren!$B$27</f>
        <v>20</v>
      </c>
      <c r="M49" s="75">
        <v>25</v>
      </c>
      <c r="N49" s="251">
        <f>normuren!$B$29</f>
        <v>1.5</v>
      </c>
      <c r="O49" s="115"/>
      <c r="P49" s="286"/>
      <c r="Q49" s="119"/>
      <c r="R49" s="119"/>
      <c r="S49" s="119"/>
      <c r="T49" s="119"/>
      <c r="U49" s="115"/>
      <c r="V49" s="115"/>
      <c r="W49" s="286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286"/>
      <c r="AM49" s="286"/>
      <c r="AN49" s="115"/>
      <c r="AO49" s="115"/>
      <c r="AP49" s="115"/>
      <c r="AQ49" s="115"/>
      <c r="AR49" s="286"/>
      <c r="AS49" s="115"/>
      <c r="AT49" s="115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85"/>
      <c r="BK49" s="224">
        <f t="shared" si="11"/>
        <v>0</v>
      </c>
      <c r="BL49" s="224">
        <f t="shared" si="12"/>
        <v>0</v>
      </c>
      <c r="BM49" s="209" t="str">
        <f t="shared" si="16"/>
        <v>Oke</v>
      </c>
    </row>
    <row r="50" spans="1:65" ht="12.75" customHeight="1" x14ac:dyDescent="0.3">
      <c r="A50" s="203" t="s">
        <v>500</v>
      </c>
      <c r="B50" s="203" t="s">
        <v>451</v>
      </c>
      <c r="C50" s="203" t="s">
        <v>478</v>
      </c>
      <c r="D50" s="203" t="s">
        <v>472</v>
      </c>
      <c r="E50" s="208"/>
      <c r="F50" s="24">
        <f t="shared" si="13"/>
        <v>0</v>
      </c>
      <c r="G50" s="249">
        <f t="shared" si="14"/>
        <v>0</v>
      </c>
      <c r="H50" s="101">
        <f t="shared" si="15"/>
        <v>0</v>
      </c>
      <c r="I50" s="79"/>
      <c r="J50" s="74">
        <f>I50*2*normuren!$B$26</f>
        <v>0</v>
      </c>
      <c r="K50" s="76">
        <f>IF(G50&lt;3,normuren!$B$8,IF(AND(G50&lt;6,G50&gt;2),normuren!$B$9,IF(AND(G50&lt;9,G50&gt;5),normuren!$B$10,normuren!$B$11)))</f>
        <v>15</v>
      </c>
      <c r="L50" s="75">
        <f>normuren!$B$27</f>
        <v>20</v>
      </c>
      <c r="M50" s="75">
        <v>26</v>
      </c>
      <c r="N50" s="251">
        <f>normuren!$B$29</f>
        <v>1.5</v>
      </c>
      <c r="O50" s="115"/>
      <c r="P50" s="286"/>
      <c r="Q50" s="119"/>
      <c r="R50" s="119"/>
      <c r="S50" s="119"/>
      <c r="T50" s="119"/>
      <c r="U50" s="115"/>
      <c r="V50" s="115"/>
      <c r="W50" s="286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286"/>
      <c r="AM50" s="286"/>
      <c r="AN50" s="115"/>
      <c r="AO50" s="115"/>
      <c r="AP50" s="115"/>
      <c r="AQ50" s="115"/>
      <c r="AR50" s="286"/>
      <c r="AS50" s="115"/>
      <c r="AT50" s="115"/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85"/>
      <c r="BK50" s="224">
        <f t="shared" si="11"/>
        <v>0</v>
      </c>
      <c r="BL50" s="224">
        <f t="shared" si="12"/>
        <v>0</v>
      </c>
      <c r="BM50" s="209" t="str">
        <f t="shared" si="16"/>
        <v>Oke</v>
      </c>
    </row>
    <row r="51" spans="1:65" ht="12.75" customHeight="1" x14ac:dyDescent="0.3">
      <c r="A51" s="294" t="s">
        <v>501</v>
      </c>
      <c r="B51" s="294" t="s">
        <v>452</v>
      </c>
      <c r="C51" s="294" t="s">
        <v>27</v>
      </c>
      <c r="D51" s="294" t="s">
        <v>238</v>
      </c>
      <c r="E51" s="208"/>
      <c r="F51" s="24">
        <f t="shared" si="13"/>
        <v>0</v>
      </c>
      <c r="G51" s="249">
        <f t="shared" si="14"/>
        <v>0</v>
      </c>
      <c r="H51" s="101">
        <f t="shared" si="15"/>
        <v>0</v>
      </c>
      <c r="I51" s="79"/>
      <c r="J51" s="74">
        <f>I51*2*normuren!$B$26</f>
        <v>0</v>
      </c>
      <c r="K51" s="76">
        <f>IF(G51&lt;3,normuren!$B$8,IF(AND(G51&lt;6,G51&gt;2),normuren!$B$9,IF(AND(G51&lt;9,G51&gt;5),normuren!$B$10,normuren!$B$11)))</f>
        <v>15</v>
      </c>
      <c r="L51" s="75">
        <f>normuren!$B$27</f>
        <v>20</v>
      </c>
      <c r="M51" s="75">
        <v>27</v>
      </c>
      <c r="N51" s="251">
        <f>normuren!$B$29</f>
        <v>1.5</v>
      </c>
      <c r="O51" s="115"/>
      <c r="P51" s="286"/>
      <c r="Q51" s="119"/>
      <c r="R51" s="119"/>
      <c r="S51" s="119"/>
      <c r="T51" s="119"/>
      <c r="U51" s="288" t="s">
        <v>696</v>
      </c>
      <c r="V51" s="115"/>
      <c r="W51" s="286"/>
      <c r="X51" s="115"/>
      <c r="Y51" s="288">
        <v>1</v>
      </c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286"/>
      <c r="AM51" s="286"/>
      <c r="AN51" s="115"/>
      <c r="AO51" s="115"/>
      <c r="AP51" s="115"/>
      <c r="AQ51" s="115"/>
      <c r="AR51" s="286"/>
      <c r="AS51" s="115"/>
      <c r="AT51" s="115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 t="s">
        <v>717</v>
      </c>
      <c r="BJ51" s="285"/>
      <c r="BK51" s="224">
        <f t="shared" si="11"/>
        <v>1</v>
      </c>
      <c r="BL51" s="224">
        <f t="shared" si="12"/>
        <v>-1</v>
      </c>
      <c r="BM51" s="209" t="str">
        <f t="shared" si="16"/>
        <v>Oke</v>
      </c>
    </row>
    <row r="52" spans="1:65" ht="12.75" customHeight="1" x14ac:dyDescent="0.3">
      <c r="A52" s="203" t="s">
        <v>502</v>
      </c>
      <c r="B52" s="203" t="s">
        <v>453</v>
      </c>
      <c r="C52" s="203" t="s">
        <v>250</v>
      </c>
      <c r="D52" s="205" t="s">
        <v>641</v>
      </c>
      <c r="E52" s="208"/>
      <c r="F52" s="24">
        <f t="shared" si="13"/>
        <v>0</v>
      </c>
      <c r="G52" s="249">
        <f t="shared" si="14"/>
        <v>0</v>
      </c>
      <c r="H52" s="101">
        <f t="shared" si="15"/>
        <v>0</v>
      </c>
      <c r="I52" s="79"/>
      <c r="J52" s="74">
        <f>I52*2*normuren!$B$26</f>
        <v>0</v>
      </c>
      <c r="K52" s="76">
        <f>IF(G52&lt;3,normuren!$B$8,IF(AND(G52&lt;6,G52&gt;2),normuren!$B$9,IF(AND(G52&lt;9,G52&gt;5),normuren!$B$10,normuren!$B$11)))</f>
        <v>15</v>
      </c>
      <c r="L52" s="75">
        <f>normuren!$B$27</f>
        <v>20</v>
      </c>
      <c r="M52" s="75">
        <v>28</v>
      </c>
      <c r="N52" s="251">
        <f>normuren!$B$29</f>
        <v>1.5</v>
      </c>
      <c r="O52" s="115"/>
      <c r="P52" s="286"/>
      <c r="Q52" s="119"/>
      <c r="R52" s="119"/>
      <c r="S52" s="119"/>
      <c r="T52" s="119"/>
      <c r="U52" s="115"/>
      <c r="V52" s="115"/>
      <c r="W52" s="286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286"/>
      <c r="AM52" s="286"/>
      <c r="AN52" s="115"/>
      <c r="AO52" s="115"/>
      <c r="AP52" s="115"/>
      <c r="AQ52" s="115"/>
      <c r="AR52" s="286"/>
      <c r="AS52" s="115"/>
      <c r="AT52" s="115"/>
      <c r="AU52" s="211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BF52" s="211"/>
      <c r="BG52" s="211"/>
      <c r="BH52" s="211"/>
      <c r="BI52" s="211"/>
      <c r="BJ52" s="285"/>
      <c r="BK52" s="224">
        <f t="shared" si="11"/>
        <v>0</v>
      </c>
      <c r="BL52" s="224">
        <f t="shared" si="12"/>
        <v>0</v>
      </c>
      <c r="BM52" s="209" t="str">
        <f t="shared" si="16"/>
        <v>Oke</v>
      </c>
    </row>
    <row r="53" spans="1:65" ht="12.75" customHeight="1" x14ac:dyDescent="0.3">
      <c r="A53" s="203" t="s">
        <v>503</v>
      </c>
      <c r="B53" s="203" t="s">
        <v>454</v>
      </c>
      <c r="C53" s="203" t="s">
        <v>479</v>
      </c>
      <c r="D53" s="203" t="s">
        <v>473</v>
      </c>
      <c r="E53" s="208"/>
      <c r="F53" s="24">
        <f t="shared" si="13"/>
        <v>0</v>
      </c>
      <c r="G53" s="249">
        <f t="shared" si="14"/>
        <v>0</v>
      </c>
      <c r="H53" s="101">
        <f t="shared" si="15"/>
        <v>0</v>
      </c>
      <c r="I53" s="79"/>
      <c r="J53" s="74">
        <f>I53*2*normuren!$B$26</f>
        <v>0</v>
      </c>
      <c r="K53" s="76">
        <f>IF(G53&lt;3,normuren!$B$8,IF(AND(G53&lt;6,G53&gt;2),normuren!$B$9,IF(AND(G53&lt;9,G53&gt;5),normuren!$B$10,normuren!$B$11)))</f>
        <v>15</v>
      </c>
      <c r="L53" s="75">
        <f>normuren!$B$27</f>
        <v>20</v>
      </c>
      <c r="M53" s="75">
        <v>29</v>
      </c>
      <c r="N53" s="251">
        <f>normuren!$B$29</f>
        <v>1.5</v>
      </c>
      <c r="O53" s="115"/>
      <c r="P53" s="286"/>
      <c r="Q53" s="119"/>
      <c r="R53" s="119"/>
      <c r="S53" s="119"/>
      <c r="T53" s="119"/>
      <c r="U53" s="115"/>
      <c r="V53" s="115"/>
      <c r="W53" s="286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286"/>
      <c r="AM53" s="286"/>
      <c r="AN53" s="115"/>
      <c r="AO53" s="115"/>
      <c r="AP53" s="284" t="s">
        <v>696</v>
      </c>
      <c r="AQ53" s="115"/>
      <c r="AR53" s="286"/>
      <c r="AS53" s="115"/>
      <c r="AT53" s="115"/>
      <c r="AU53" s="211"/>
      <c r="AV53" s="211"/>
      <c r="AW53" s="211"/>
      <c r="AX53" s="211"/>
      <c r="AY53" s="211"/>
      <c r="AZ53" s="211"/>
      <c r="BA53" s="211"/>
      <c r="BB53" s="211"/>
      <c r="BC53" s="211"/>
      <c r="BD53" s="211"/>
      <c r="BE53" s="211"/>
      <c r="BF53" s="211"/>
      <c r="BG53" s="211"/>
      <c r="BH53" s="211"/>
      <c r="BI53" s="211"/>
      <c r="BJ53" s="285"/>
      <c r="BK53" s="224">
        <f t="shared" si="11"/>
        <v>0</v>
      </c>
      <c r="BL53" s="224">
        <f t="shared" si="12"/>
        <v>0</v>
      </c>
      <c r="BM53" s="209" t="str">
        <f t="shared" si="16"/>
        <v>Oke</v>
      </c>
    </row>
    <row r="54" spans="1:65" ht="12.75" customHeight="1" x14ac:dyDescent="0.3">
      <c r="A54" s="294" t="s">
        <v>504</v>
      </c>
      <c r="B54" s="294" t="s">
        <v>455</v>
      </c>
      <c r="C54" s="294" t="s">
        <v>27</v>
      </c>
      <c r="D54" s="301" t="s">
        <v>474</v>
      </c>
      <c r="E54" s="208"/>
      <c r="F54" s="24">
        <f t="shared" si="13"/>
        <v>0</v>
      </c>
      <c r="G54" s="249">
        <f t="shared" si="14"/>
        <v>0</v>
      </c>
      <c r="H54" s="101">
        <f t="shared" si="15"/>
        <v>0</v>
      </c>
      <c r="I54" s="79"/>
      <c r="J54" s="74">
        <f>I54*2*normuren!$B$26</f>
        <v>0</v>
      </c>
      <c r="K54" s="76">
        <f>IF(G54&lt;3,normuren!$B$8,IF(AND(G54&lt;6,G54&gt;2),normuren!$B$9,IF(AND(G54&lt;9,G54&gt;5),normuren!$B$10,normuren!$B$11)))</f>
        <v>15</v>
      </c>
      <c r="L54" s="75">
        <f>normuren!$B$27</f>
        <v>20</v>
      </c>
      <c r="M54" s="75">
        <v>30</v>
      </c>
      <c r="N54" s="251">
        <f>normuren!$B$29</f>
        <v>1.5</v>
      </c>
      <c r="O54" s="115"/>
      <c r="P54" s="286"/>
      <c r="Q54" s="119"/>
      <c r="R54" s="119"/>
      <c r="S54" s="119"/>
      <c r="T54" s="119"/>
      <c r="U54" s="115"/>
      <c r="V54" s="115"/>
      <c r="W54" s="286"/>
      <c r="X54" s="115"/>
      <c r="Y54" s="115"/>
      <c r="Z54" s="115"/>
      <c r="AA54" s="115"/>
      <c r="AB54" s="115"/>
      <c r="AC54" s="115"/>
      <c r="AD54" s="288">
        <v>2</v>
      </c>
      <c r="AE54" s="115"/>
      <c r="AF54" s="115"/>
      <c r="AG54" s="115"/>
      <c r="AH54" s="115"/>
      <c r="AI54" s="115"/>
      <c r="AJ54" s="115"/>
      <c r="AK54" s="115"/>
      <c r="AL54" s="286"/>
      <c r="AM54" s="286"/>
      <c r="AN54" s="115"/>
      <c r="AO54" s="115"/>
      <c r="AP54" s="115"/>
      <c r="AQ54" s="115"/>
      <c r="AR54" s="286"/>
      <c r="AS54" s="115"/>
      <c r="AT54" s="115"/>
      <c r="AU54" s="211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11"/>
      <c r="BG54" s="211"/>
      <c r="BH54" s="211"/>
      <c r="BI54" s="211"/>
      <c r="BJ54" s="285"/>
      <c r="BK54" s="224">
        <f t="shared" si="11"/>
        <v>2</v>
      </c>
      <c r="BL54" s="224">
        <f t="shared" si="12"/>
        <v>-2</v>
      </c>
      <c r="BM54" s="209" t="str">
        <f t="shared" ref="BM54" si="17">IF(BL54&gt;0,"Problem","Oke")</f>
        <v>Oke</v>
      </c>
    </row>
    <row r="55" spans="1:65" s="158" customFormat="1" ht="12.75" customHeight="1" x14ac:dyDescent="0.3">
      <c r="A55" s="294" t="s">
        <v>505</v>
      </c>
      <c r="B55" s="294" t="s">
        <v>456</v>
      </c>
      <c r="C55" s="294" t="s">
        <v>27</v>
      </c>
      <c r="D55" s="294" t="s">
        <v>198</v>
      </c>
      <c r="E55" s="208"/>
      <c r="F55" s="24">
        <f t="shared" si="13"/>
        <v>0</v>
      </c>
      <c r="G55" s="249">
        <f t="shared" si="14"/>
        <v>0</v>
      </c>
      <c r="H55" s="101">
        <f t="shared" si="15"/>
        <v>0</v>
      </c>
      <c r="I55" s="79"/>
      <c r="J55" s="74">
        <f>I55*2*normuren!$B$26</f>
        <v>0</v>
      </c>
      <c r="K55" s="76">
        <f>IF(G55&lt;3,normuren!$B$8,IF(AND(G55&lt;6,G55&gt;2),normuren!$B$9,IF(AND(G55&lt;9,G55&gt;5),normuren!$B$10,normuren!$B$11)))</f>
        <v>15</v>
      </c>
      <c r="L55" s="75">
        <f>normuren!$B$27</f>
        <v>20</v>
      </c>
      <c r="M55" s="75">
        <v>30</v>
      </c>
      <c r="N55" s="251">
        <f>normuren!$B$29</f>
        <v>1.5</v>
      </c>
      <c r="O55" s="115"/>
      <c r="P55" s="286"/>
      <c r="Q55" s="119"/>
      <c r="R55" s="119"/>
      <c r="S55" s="173"/>
      <c r="T55" s="119"/>
      <c r="U55" s="115"/>
      <c r="V55" s="115"/>
      <c r="W55" s="286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286"/>
      <c r="AM55" s="286"/>
      <c r="AN55" s="115"/>
      <c r="AO55" s="115"/>
      <c r="AP55" s="115"/>
      <c r="AQ55" s="115"/>
      <c r="AR55" s="286"/>
      <c r="AS55" s="115"/>
      <c r="AT55" s="288">
        <v>3</v>
      </c>
      <c r="AU55" s="216"/>
      <c r="AV55" s="216"/>
      <c r="AW55" s="216"/>
      <c r="AX55" s="216"/>
      <c r="AY55" s="216"/>
      <c r="AZ55" s="216"/>
      <c r="BA55" s="216"/>
      <c r="BB55" s="216"/>
      <c r="BC55" s="216"/>
      <c r="BD55" s="216"/>
      <c r="BE55" s="216"/>
      <c r="BF55" s="216"/>
      <c r="BG55" s="216"/>
      <c r="BH55" s="216"/>
      <c r="BI55" s="216"/>
      <c r="BJ55" s="309"/>
      <c r="BK55" s="224">
        <f t="shared" si="11"/>
        <v>3</v>
      </c>
      <c r="BL55" s="224">
        <f t="shared" si="12"/>
        <v>-3</v>
      </c>
      <c r="BM55" s="209" t="str">
        <f t="shared" si="16"/>
        <v>Oke</v>
      </c>
    </row>
    <row r="56" spans="1:65" s="158" customFormat="1" ht="12.75" customHeight="1" x14ac:dyDescent="0.3">
      <c r="A56" s="294" t="s">
        <v>271</v>
      </c>
      <c r="B56" s="294" t="s">
        <v>241</v>
      </c>
      <c r="C56" s="294" t="s">
        <v>27</v>
      </c>
      <c r="D56" s="294" t="s">
        <v>242</v>
      </c>
      <c r="E56" s="208"/>
      <c r="F56" s="24">
        <f t="shared" si="13"/>
        <v>0</v>
      </c>
      <c r="G56" s="249">
        <f t="shared" si="14"/>
        <v>0</v>
      </c>
      <c r="H56" s="101">
        <f t="shared" si="15"/>
        <v>0</v>
      </c>
      <c r="I56" s="79"/>
      <c r="J56" s="74">
        <f>I56*2*normuren!$B$26</f>
        <v>0</v>
      </c>
      <c r="K56" s="76">
        <f>IF(G56&lt;3,normuren!$B$8,IF(AND(G56&lt;6,G56&gt;2),normuren!$B$9,IF(AND(G56&lt;9,G56&gt;5),normuren!$B$10,normuren!$B$11)))</f>
        <v>15</v>
      </c>
      <c r="L56" s="75">
        <f>normuren!$B$27</f>
        <v>20</v>
      </c>
      <c r="M56" s="75">
        <v>31</v>
      </c>
      <c r="N56" s="251">
        <f>normuren!$B$29</f>
        <v>1.5</v>
      </c>
      <c r="O56" s="115"/>
      <c r="P56" s="286"/>
      <c r="Q56" s="119"/>
      <c r="R56" s="119"/>
      <c r="S56" s="119"/>
      <c r="T56" s="119"/>
      <c r="U56" s="115"/>
      <c r="V56" s="115"/>
      <c r="W56" s="286"/>
      <c r="X56" s="115"/>
      <c r="Y56" s="115"/>
      <c r="Z56" s="115"/>
      <c r="AA56" s="288" t="s">
        <v>696</v>
      </c>
      <c r="AB56" s="115"/>
      <c r="AC56" s="115"/>
      <c r="AD56" s="115"/>
      <c r="AE56" s="115"/>
      <c r="AF56" s="115"/>
      <c r="AG56" s="288" t="s">
        <v>696</v>
      </c>
      <c r="AH56" s="115"/>
      <c r="AI56" s="115"/>
      <c r="AJ56" s="115"/>
      <c r="AK56" s="115"/>
      <c r="AL56" s="286"/>
      <c r="AM56" s="286"/>
      <c r="AN56" s="115"/>
      <c r="AO56" s="115"/>
      <c r="AP56" s="115"/>
      <c r="AQ56" s="115"/>
      <c r="AR56" s="286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286"/>
      <c r="BK56" s="224">
        <f t="shared" si="11"/>
        <v>0</v>
      </c>
      <c r="BL56" s="224">
        <f t="shared" si="12"/>
        <v>0</v>
      </c>
      <c r="BM56" s="209" t="str">
        <f t="shared" si="16"/>
        <v>Oke</v>
      </c>
    </row>
    <row r="57" spans="1:65" s="158" customFormat="1" ht="12.75" customHeight="1" x14ac:dyDescent="0.3">
      <c r="A57" s="294" t="s">
        <v>506</v>
      </c>
      <c r="B57" s="294" t="s">
        <v>642</v>
      </c>
      <c r="C57" s="294" t="s">
        <v>27</v>
      </c>
      <c r="D57" s="294" t="s">
        <v>475</v>
      </c>
      <c r="E57" s="208"/>
      <c r="F57" s="24">
        <f t="shared" si="13"/>
        <v>0</v>
      </c>
      <c r="G57" s="249">
        <f t="shared" si="14"/>
        <v>0</v>
      </c>
      <c r="H57" s="101">
        <f t="shared" si="15"/>
        <v>0</v>
      </c>
      <c r="I57" s="79"/>
      <c r="J57" s="74">
        <f>I57*2*normuren!$B$26</f>
        <v>0</v>
      </c>
      <c r="K57" s="76">
        <f>IF(G57&lt;3,normuren!$B$8,IF(AND(G57&lt;6,G57&gt;2),normuren!$B$9,IF(AND(G57&lt;9,G57&gt;5),normuren!$B$10,normuren!$B$11)))</f>
        <v>15</v>
      </c>
      <c r="L57" s="75">
        <f>normuren!$B$27</f>
        <v>20</v>
      </c>
      <c r="M57" s="75">
        <v>32</v>
      </c>
      <c r="N57" s="251">
        <f>normuren!$B$29</f>
        <v>1.5</v>
      </c>
      <c r="O57" s="115"/>
      <c r="P57" s="286"/>
      <c r="Q57" s="119"/>
      <c r="R57" s="119"/>
      <c r="S57" s="119"/>
      <c r="T57" s="267" t="s">
        <v>696</v>
      </c>
      <c r="U57" s="115"/>
      <c r="V57" s="115"/>
      <c r="W57" s="286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286"/>
      <c r="AM57" s="286"/>
      <c r="AN57" s="115"/>
      <c r="AO57" s="115"/>
      <c r="AP57" s="115"/>
      <c r="AQ57" s="115"/>
      <c r="AR57" s="286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286"/>
      <c r="BK57" s="224">
        <f t="shared" si="11"/>
        <v>0</v>
      </c>
      <c r="BL57" s="224">
        <f t="shared" si="12"/>
        <v>0</v>
      </c>
      <c r="BM57" s="209" t="str">
        <f t="shared" si="16"/>
        <v>Oke</v>
      </c>
    </row>
    <row r="58" spans="1:65" s="158" customFormat="1" ht="12.75" customHeight="1" x14ac:dyDescent="0.3">
      <c r="A58" s="294" t="s">
        <v>272</v>
      </c>
      <c r="B58" s="294" t="s">
        <v>243</v>
      </c>
      <c r="C58" s="294" t="s">
        <v>27</v>
      </c>
      <c r="D58" s="294" t="s">
        <v>244</v>
      </c>
      <c r="E58" s="216"/>
      <c r="F58" s="24">
        <f t="shared" si="13"/>
        <v>0</v>
      </c>
      <c r="G58" s="249">
        <f t="shared" ref="G58" si="18">ROUNDUP(F58,0)</f>
        <v>0</v>
      </c>
      <c r="H58" s="101">
        <f t="shared" ref="H58" si="19">IF(G58=0,0,E58/G58)</f>
        <v>0</v>
      </c>
      <c r="I58" s="79"/>
      <c r="J58" s="74">
        <f>I58*2*normuren!$B$26</f>
        <v>0</v>
      </c>
      <c r="K58" s="76">
        <f>IF(G58&lt;3,normuren!$B$8,IF(AND(G58&lt;6,G58&gt;2),normuren!$B$9,IF(AND(G58&lt;9,G58&gt;5),normuren!$B$10,normuren!$B$11)))</f>
        <v>15</v>
      </c>
      <c r="L58" s="75">
        <f>normuren!$B$27</f>
        <v>20</v>
      </c>
      <c r="M58" s="75">
        <v>33</v>
      </c>
      <c r="N58" s="251">
        <f>normuren!$B$29</f>
        <v>1.5</v>
      </c>
      <c r="O58" s="115"/>
      <c r="P58" s="286"/>
      <c r="Q58" s="119"/>
      <c r="R58" s="119"/>
      <c r="S58" s="119"/>
      <c r="T58" s="267" t="s">
        <v>696</v>
      </c>
      <c r="U58" s="115"/>
      <c r="V58" s="115"/>
      <c r="W58" s="286"/>
      <c r="X58" s="115"/>
      <c r="Y58" s="115"/>
      <c r="Z58" s="115"/>
      <c r="AA58" s="115"/>
      <c r="AB58" s="115"/>
      <c r="AC58" s="115"/>
      <c r="AD58" s="115"/>
      <c r="AE58" s="115"/>
      <c r="AF58" s="115"/>
      <c r="AG58" s="288" t="s">
        <v>696</v>
      </c>
      <c r="AH58" s="115"/>
      <c r="AI58" s="115"/>
      <c r="AJ58" s="115"/>
      <c r="AK58" s="288" t="s">
        <v>696</v>
      </c>
      <c r="AL58" s="286"/>
      <c r="AM58" s="288" t="s">
        <v>696</v>
      </c>
      <c r="AN58" s="115"/>
      <c r="AO58" s="115"/>
      <c r="AP58" s="115"/>
      <c r="AQ58" s="115"/>
      <c r="AR58" s="286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286"/>
      <c r="BK58" s="224">
        <f t="shared" si="11"/>
        <v>0</v>
      </c>
      <c r="BL58" s="224">
        <f t="shared" si="12"/>
        <v>0</v>
      </c>
      <c r="BM58" s="209" t="str">
        <f t="shared" ref="BM58" si="20">IF(BL58&gt;0,"Problem","Oke")</f>
        <v>Oke</v>
      </c>
    </row>
    <row r="59" spans="1:65" s="158" customFormat="1" hidden="1" x14ac:dyDescent="0.2">
      <c r="A59" s="171" t="s">
        <v>10</v>
      </c>
      <c r="B59" s="149"/>
      <c r="C59" s="134"/>
      <c r="D59" s="134"/>
      <c r="E59" s="135"/>
      <c r="F59" s="150"/>
      <c r="G59" s="151">
        <f>SUM(G5:G46)</f>
        <v>0</v>
      </c>
      <c r="H59" s="134"/>
      <c r="I59" s="134"/>
      <c r="J59" s="134"/>
      <c r="K59" s="134"/>
      <c r="L59" s="136"/>
      <c r="M59" s="136"/>
      <c r="N59" s="152"/>
      <c r="O59" s="143">
        <f>SUM(O3:O57)</f>
        <v>0</v>
      </c>
      <c r="P59" s="143">
        <f>SUM(P3:P57)</f>
        <v>1</v>
      </c>
      <c r="Q59" s="143">
        <f t="shared" ref="Q59:Q66" si="21">SUM(Q5:Q57)</f>
        <v>0</v>
      </c>
      <c r="R59" s="143">
        <f t="shared" ref="R59:AT59" si="22">SUM(R3:R57)</f>
        <v>3</v>
      </c>
      <c r="S59" s="143">
        <f t="shared" si="22"/>
        <v>2</v>
      </c>
      <c r="T59" s="143">
        <f t="shared" si="22"/>
        <v>0</v>
      </c>
      <c r="U59" s="143">
        <f t="shared" si="22"/>
        <v>0</v>
      </c>
      <c r="V59" s="143">
        <f t="shared" si="22"/>
        <v>3</v>
      </c>
      <c r="W59" s="143">
        <f t="shared" si="22"/>
        <v>0</v>
      </c>
      <c r="X59" s="143">
        <f t="shared" si="22"/>
        <v>0</v>
      </c>
      <c r="Y59" s="143">
        <f t="shared" si="22"/>
        <v>1</v>
      </c>
      <c r="Z59" s="143">
        <f t="shared" si="22"/>
        <v>0</v>
      </c>
      <c r="AA59" s="143">
        <f t="shared" si="22"/>
        <v>3</v>
      </c>
      <c r="AB59" s="143">
        <f t="shared" si="22"/>
        <v>0</v>
      </c>
      <c r="AC59" s="143">
        <f t="shared" si="22"/>
        <v>2</v>
      </c>
      <c r="AD59" s="143"/>
      <c r="AE59" s="143">
        <f t="shared" si="22"/>
        <v>1</v>
      </c>
      <c r="AF59" s="143">
        <f t="shared" si="22"/>
        <v>0</v>
      </c>
      <c r="AG59" s="143">
        <f t="shared" si="22"/>
        <v>1</v>
      </c>
      <c r="AH59" s="143">
        <f t="shared" si="22"/>
        <v>0</v>
      </c>
      <c r="AI59" s="143">
        <f t="shared" si="22"/>
        <v>0</v>
      </c>
      <c r="AJ59" s="143">
        <f t="shared" si="22"/>
        <v>0</v>
      </c>
      <c r="AK59" s="143">
        <f t="shared" si="22"/>
        <v>3</v>
      </c>
      <c r="AL59" s="143">
        <f t="shared" si="22"/>
        <v>0</v>
      </c>
      <c r="AM59" s="143">
        <f t="shared" si="22"/>
        <v>0</v>
      </c>
      <c r="AN59" s="143">
        <f t="shared" si="22"/>
        <v>0</v>
      </c>
      <c r="AO59" s="143">
        <f t="shared" si="22"/>
        <v>2</v>
      </c>
      <c r="AP59" s="143">
        <f t="shared" si="22"/>
        <v>0</v>
      </c>
      <c r="AQ59" s="143">
        <f t="shared" si="22"/>
        <v>2</v>
      </c>
      <c r="AR59" s="143">
        <f t="shared" si="22"/>
        <v>0</v>
      </c>
      <c r="AS59" s="143">
        <f t="shared" si="22"/>
        <v>0</v>
      </c>
      <c r="AT59" s="143">
        <f t="shared" si="22"/>
        <v>4</v>
      </c>
      <c r="AU59" s="143"/>
      <c r="AV59" s="143"/>
      <c r="AW59" s="143">
        <f>SUM(AW3:AW57)</f>
        <v>0</v>
      </c>
      <c r="AX59" s="143">
        <f>SUM(AX3:AX57)</f>
        <v>5</v>
      </c>
      <c r="AY59" s="143"/>
      <c r="AZ59" s="143"/>
      <c r="BA59" s="143"/>
      <c r="BB59" s="143"/>
      <c r="BC59" s="143"/>
      <c r="BD59" s="143"/>
      <c r="BE59" s="143"/>
      <c r="BF59" s="143">
        <f>SUM(BF3:BF57)</f>
        <v>0</v>
      </c>
      <c r="BG59" s="143"/>
      <c r="BH59" s="143"/>
      <c r="BI59" s="143"/>
      <c r="BJ59" s="143">
        <f>SUM(BJ3:BJ57)</f>
        <v>0</v>
      </c>
      <c r="BK59" s="143"/>
      <c r="BL59" s="224">
        <f t="shared" si="12"/>
        <v>0</v>
      </c>
      <c r="BM59" s="6"/>
    </row>
    <row r="60" spans="1:65" hidden="1" x14ac:dyDescent="0.2">
      <c r="A60" s="172" t="s">
        <v>39</v>
      </c>
      <c r="B60" s="146"/>
      <c r="C60" s="30"/>
      <c r="D60" s="30"/>
      <c r="E60" s="31"/>
      <c r="F60" s="30"/>
      <c r="G60" s="30"/>
      <c r="H60" s="30"/>
      <c r="I60" s="30"/>
      <c r="J60" s="30"/>
      <c r="K60" s="30"/>
      <c r="L60" s="32"/>
      <c r="M60" s="32"/>
      <c r="N60" s="147"/>
      <c r="O60" s="143">
        <f t="shared" ref="O60:P67" si="23">SUM(O5:O58)</f>
        <v>0</v>
      </c>
      <c r="P60" s="143">
        <f t="shared" si="23"/>
        <v>1</v>
      </c>
      <c r="Q60" s="143">
        <f t="shared" si="21"/>
        <v>0</v>
      </c>
      <c r="R60" s="143">
        <f t="shared" ref="R60:AT60" si="24">SUM(R5:R58)</f>
        <v>2</v>
      </c>
      <c r="S60" s="143">
        <f t="shared" si="24"/>
        <v>2</v>
      </c>
      <c r="T60" s="143">
        <f t="shared" si="24"/>
        <v>0</v>
      </c>
      <c r="U60" s="143">
        <f t="shared" si="24"/>
        <v>0</v>
      </c>
      <c r="V60" s="143">
        <f t="shared" si="24"/>
        <v>2</v>
      </c>
      <c r="W60" s="143">
        <f t="shared" si="24"/>
        <v>0</v>
      </c>
      <c r="X60" s="143">
        <f t="shared" si="24"/>
        <v>0</v>
      </c>
      <c r="Y60" s="143">
        <f t="shared" si="24"/>
        <v>1</v>
      </c>
      <c r="Z60" s="143">
        <f t="shared" si="24"/>
        <v>0</v>
      </c>
      <c r="AA60" s="143">
        <f t="shared" si="24"/>
        <v>2</v>
      </c>
      <c r="AB60" s="143">
        <f t="shared" si="24"/>
        <v>0</v>
      </c>
      <c r="AC60" s="143">
        <f t="shared" si="24"/>
        <v>2</v>
      </c>
      <c r="AD60" s="143"/>
      <c r="AE60" s="143">
        <f t="shared" si="24"/>
        <v>1</v>
      </c>
      <c r="AF60" s="143">
        <f t="shared" si="24"/>
        <v>0</v>
      </c>
      <c r="AG60" s="143">
        <f t="shared" si="24"/>
        <v>1</v>
      </c>
      <c r="AH60" s="143">
        <f t="shared" si="24"/>
        <v>0</v>
      </c>
      <c r="AI60" s="143">
        <f t="shared" si="24"/>
        <v>0</v>
      </c>
      <c r="AJ60" s="143">
        <f t="shared" si="24"/>
        <v>0</v>
      </c>
      <c r="AK60" s="143">
        <f t="shared" si="24"/>
        <v>2</v>
      </c>
      <c r="AL60" s="143">
        <f t="shared" si="24"/>
        <v>0</v>
      </c>
      <c r="AM60" s="143">
        <f t="shared" si="24"/>
        <v>0</v>
      </c>
      <c r="AN60" s="143">
        <f t="shared" si="24"/>
        <v>0</v>
      </c>
      <c r="AO60" s="143">
        <f t="shared" si="24"/>
        <v>2</v>
      </c>
      <c r="AP60" s="143">
        <f t="shared" si="24"/>
        <v>0</v>
      </c>
      <c r="AQ60" s="143">
        <f t="shared" si="24"/>
        <v>2</v>
      </c>
      <c r="AR60" s="143">
        <f t="shared" si="24"/>
        <v>0</v>
      </c>
      <c r="AS60" s="143">
        <f t="shared" si="24"/>
        <v>0</v>
      </c>
      <c r="AT60" s="143">
        <f t="shared" si="24"/>
        <v>3</v>
      </c>
      <c r="AU60" s="143"/>
      <c r="AV60" s="143"/>
      <c r="AW60" s="143">
        <f t="shared" ref="AW60:AX67" si="25">SUM(AW5:AW58)</f>
        <v>0</v>
      </c>
      <c r="AX60" s="143">
        <f t="shared" si="25"/>
        <v>5</v>
      </c>
      <c r="AY60" s="143"/>
      <c r="AZ60" s="143"/>
      <c r="BA60" s="143"/>
      <c r="BB60" s="143"/>
      <c r="BC60" s="143"/>
      <c r="BD60" s="143"/>
      <c r="BE60" s="143"/>
      <c r="BF60" s="143">
        <f t="shared" ref="BF60:BF67" si="26">SUM(BF5:BF58)</f>
        <v>0</v>
      </c>
      <c r="BG60" s="143"/>
      <c r="BH60" s="143"/>
      <c r="BI60" s="143"/>
      <c r="BJ60" s="143">
        <f t="shared" ref="BJ60:BJ67" si="27">SUM(BJ5:BJ58)</f>
        <v>0</v>
      </c>
      <c r="BK60" s="143"/>
      <c r="BL60" s="224">
        <f t="shared" si="12"/>
        <v>0</v>
      </c>
      <c r="BM60" s="6"/>
    </row>
    <row r="61" spans="1:65" hidden="1" x14ac:dyDescent="0.2">
      <c r="A61" s="172" t="s">
        <v>54</v>
      </c>
      <c r="B61" s="146"/>
      <c r="C61" s="30"/>
      <c r="D61" s="30"/>
      <c r="E61" s="31"/>
      <c r="F61" s="30"/>
      <c r="G61" s="30"/>
      <c r="H61" s="30"/>
      <c r="I61" s="30"/>
      <c r="J61" s="30"/>
      <c r="K61" s="30"/>
      <c r="L61" s="32"/>
      <c r="M61" s="32"/>
      <c r="N61" s="147"/>
      <c r="O61" s="143">
        <f t="shared" si="23"/>
        <v>0</v>
      </c>
      <c r="P61" s="143">
        <f t="shared" si="23"/>
        <v>2</v>
      </c>
      <c r="Q61" s="143">
        <f t="shared" si="21"/>
        <v>0</v>
      </c>
      <c r="R61" s="143">
        <f t="shared" ref="R61:AT61" si="28">SUM(R6:R59)</f>
        <v>5</v>
      </c>
      <c r="S61" s="143">
        <f t="shared" si="28"/>
        <v>4</v>
      </c>
      <c r="T61" s="143">
        <f t="shared" si="28"/>
        <v>0</v>
      </c>
      <c r="U61" s="143">
        <f t="shared" si="28"/>
        <v>0</v>
      </c>
      <c r="V61" s="143">
        <f t="shared" si="28"/>
        <v>5</v>
      </c>
      <c r="W61" s="143">
        <f t="shared" si="28"/>
        <v>0</v>
      </c>
      <c r="X61" s="143">
        <f t="shared" si="28"/>
        <v>0</v>
      </c>
      <c r="Y61" s="143">
        <f t="shared" si="28"/>
        <v>2</v>
      </c>
      <c r="Z61" s="143">
        <f t="shared" si="28"/>
        <v>0</v>
      </c>
      <c r="AA61" s="143">
        <f t="shared" si="28"/>
        <v>5</v>
      </c>
      <c r="AB61" s="143">
        <f t="shared" si="28"/>
        <v>0</v>
      </c>
      <c r="AC61" s="143">
        <f t="shared" si="28"/>
        <v>4</v>
      </c>
      <c r="AD61" s="143"/>
      <c r="AE61" s="143">
        <f t="shared" si="28"/>
        <v>2</v>
      </c>
      <c r="AF61" s="143">
        <f t="shared" si="28"/>
        <v>0</v>
      </c>
      <c r="AG61" s="143">
        <f t="shared" si="28"/>
        <v>2</v>
      </c>
      <c r="AH61" s="143">
        <f t="shared" si="28"/>
        <v>0</v>
      </c>
      <c r="AI61" s="143">
        <f t="shared" si="28"/>
        <v>0</v>
      </c>
      <c r="AJ61" s="143">
        <f t="shared" si="28"/>
        <v>0</v>
      </c>
      <c r="AK61" s="143">
        <f t="shared" si="28"/>
        <v>5</v>
      </c>
      <c r="AL61" s="143">
        <f t="shared" si="28"/>
        <v>0</v>
      </c>
      <c r="AM61" s="143">
        <f t="shared" si="28"/>
        <v>0</v>
      </c>
      <c r="AN61" s="143">
        <f t="shared" si="28"/>
        <v>0</v>
      </c>
      <c r="AO61" s="143">
        <f t="shared" si="28"/>
        <v>2</v>
      </c>
      <c r="AP61" s="143">
        <f t="shared" si="28"/>
        <v>0</v>
      </c>
      <c r="AQ61" s="143">
        <f t="shared" si="28"/>
        <v>4</v>
      </c>
      <c r="AR61" s="143">
        <f t="shared" si="28"/>
        <v>0</v>
      </c>
      <c r="AS61" s="143">
        <f t="shared" si="28"/>
        <v>0</v>
      </c>
      <c r="AT61" s="143">
        <f t="shared" si="28"/>
        <v>7</v>
      </c>
      <c r="AU61" s="143"/>
      <c r="AV61" s="143"/>
      <c r="AW61" s="143">
        <f t="shared" si="25"/>
        <v>0</v>
      </c>
      <c r="AX61" s="143">
        <f t="shared" si="25"/>
        <v>10</v>
      </c>
      <c r="AY61" s="143"/>
      <c r="AZ61" s="143"/>
      <c r="BA61" s="143"/>
      <c r="BB61" s="143"/>
      <c r="BC61" s="143"/>
      <c r="BD61" s="143"/>
      <c r="BE61" s="143"/>
      <c r="BF61" s="143">
        <f t="shared" si="26"/>
        <v>0</v>
      </c>
      <c r="BG61" s="143"/>
      <c r="BH61" s="143"/>
      <c r="BI61" s="143"/>
      <c r="BJ61" s="143">
        <f t="shared" si="27"/>
        <v>0</v>
      </c>
      <c r="BK61" s="143"/>
      <c r="BL61" s="224">
        <f t="shared" si="12"/>
        <v>0</v>
      </c>
      <c r="BM61" s="6"/>
    </row>
    <row r="62" spans="1:65" hidden="1" x14ac:dyDescent="0.2">
      <c r="A62" s="172" t="s">
        <v>36</v>
      </c>
      <c r="B62" s="146"/>
      <c r="C62" s="30"/>
      <c r="D62" s="30"/>
      <c r="E62" s="31"/>
      <c r="F62" s="30"/>
      <c r="G62" s="30"/>
      <c r="H62" s="30"/>
      <c r="I62" s="30"/>
      <c r="J62" s="30"/>
      <c r="K62" s="30"/>
      <c r="L62" s="32"/>
      <c r="M62" s="32"/>
      <c r="N62" s="147"/>
      <c r="O62" s="143">
        <f t="shared" si="23"/>
        <v>0</v>
      </c>
      <c r="P62" s="143">
        <f t="shared" si="23"/>
        <v>3</v>
      </c>
      <c r="Q62" s="143">
        <f t="shared" si="21"/>
        <v>0</v>
      </c>
      <c r="R62" s="143">
        <f t="shared" ref="R62:AT62" si="29">SUM(R7:R60)</f>
        <v>7</v>
      </c>
      <c r="S62" s="143">
        <f t="shared" si="29"/>
        <v>6</v>
      </c>
      <c r="T62" s="143">
        <f t="shared" si="29"/>
        <v>0</v>
      </c>
      <c r="U62" s="143">
        <f t="shared" si="29"/>
        <v>0</v>
      </c>
      <c r="V62" s="143">
        <f t="shared" si="29"/>
        <v>7</v>
      </c>
      <c r="W62" s="143">
        <f t="shared" si="29"/>
        <v>0</v>
      </c>
      <c r="X62" s="143">
        <f t="shared" si="29"/>
        <v>0</v>
      </c>
      <c r="Y62" s="143">
        <f t="shared" si="29"/>
        <v>3</v>
      </c>
      <c r="Z62" s="143">
        <f t="shared" si="29"/>
        <v>0</v>
      </c>
      <c r="AA62" s="143">
        <f t="shared" si="29"/>
        <v>7</v>
      </c>
      <c r="AB62" s="143">
        <f t="shared" si="29"/>
        <v>0</v>
      </c>
      <c r="AC62" s="143">
        <f t="shared" si="29"/>
        <v>6</v>
      </c>
      <c r="AD62" s="143"/>
      <c r="AE62" s="143">
        <f t="shared" si="29"/>
        <v>3</v>
      </c>
      <c r="AF62" s="143">
        <f t="shared" si="29"/>
        <v>0</v>
      </c>
      <c r="AG62" s="143">
        <f t="shared" si="29"/>
        <v>3</v>
      </c>
      <c r="AH62" s="143">
        <f t="shared" si="29"/>
        <v>0</v>
      </c>
      <c r="AI62" s="143">
        <f t="shared" si="29"/>
        <v>0</v>
      </c>
      <c r="AJ62" s="143">
        <f t="shared" si="29"/>
        <v>0</v>
      </c>
      <c r="AK62" s="143">
        <f t="shared" si="29"/>
        <v>7</v>
      </c>
      <c r="AL62" s="143">
        <f t="shared" si="29"/>
        <v>0</v>
      </c>
      <c r="AM62" s="143">
        <f t="shared" si="29"/>
        <v>0</v>
      </c>
      <c r="AN62" s="143">
        <f t="shared" si="29"/>
        <v>0</v>
      </c>
      <c r="AO62" s="143">
        <f t="shared" si="29"/>
        <v>4</v>
      </c>
      <c r="AP62" s="143">
        <f t="shared" si="29"/>
        <v>0</v>
      </c>
      <c r="AQ62" s="143">
        <f t="shared" si="29"/>
        <v>6</v>
      </c>
      <c r="AR62" s="143">
        <f t="shared" si="29"/>
        <v>0</v>
      </c>
      <c r="AS62" s="143">
        <f t="shared" si="29"/>
        <v>0</v>
      </c>
      <c r="AT62" s="143">
        <f t="shared" si="29"/>
        <v>10</v>
      </c>
      <c r="AU62" s="143"/>
      <c r="AV62" s="143"/>
      <c r="AW62" s="143">
        <f t="shared" si="25"/>
        <v>0</v>
      </c>
      <c r="AX62" s="143">
        <f t="shared" si="25"/>
        <v>12</v>
      </c>
      <c r="AY62" s="143"/>
      <c r="AZ62" s="143"/>
      <c r="BA62" s="143"/>
      <c r="BB62" s="143"/>
      <c r="BC62" s="143"/>
      <c r="BD62" s="143"/>
      <c r="BE62" s="143"/>
      <c r="BF62" s="143">
        <f t="shared" si="26"/>
        <v>0</v>
      </c>
      <c r="BG62" s="143"/>
      <c r="BH62" s="143"/>
      <c r="BI62" s="143"/>
      <c r="BJ62" s="143">
        <f t="shared" si="27"/>
        <v>0</v>
      </c>
      <c r="BK62" s="143"/>
      <c r="BL62" s="224">
        <f t="shared" si="12"/>
        <v>0</v>
      </c>
      <c r="BM62" s="6"/>
    </row>
    <row r="63" spans="1:65" hidden="1" x14ac:dyDescent="0.2">
      <c r="A63" s="172" t="s">
        <v>138</v>
      </c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4"/>
      <c r="O63" s="143">
        <f t="shared" si="23"/>
        <v>0</v>
      </c>
      <c r="P63" s="143">
        <f t="shared" si="23"/>
        <v>5</v>
      </c>
      <c r="Q63" s="143">
        <f t="shared" si="21"/>
        <v>0</v>
      </c>
      <c r="R63" s="143">
        <f t="shared" ref="R63:AT63" si="30">SUM(R8:R61)</f>
        <v>12</v>
      </c>
      <c r="S63" s="143">
        <f t="shared" si="30"/>
        <v>10</v>
      </c>
      <c r="T63" s="143">
        <f t="shared" si="30"/>
        <v>0</v>
      </c>
      <c r="U63" s="143">
        <f t="shared" si="30"/>
        <v>0</v>
      </c>
      <c r="V63" s="143">
        <f t="shared" si="30"/>
        <v>12</v>
      </c>
      <c r="W63" s="143">
        <f t="shared" si="30"/>
        <v>0</v>
      </c>
      <c r="X63" s="143">
        <f t="shared" si="30"/>
        <v>0</v>
      </c>
      <c r="Y63" s="143">
        <f t="shared" si="30"/>
        <v>5</v>
      </c>
      <c r="Z63" s="143">
        <f t="shared" si="30"/>
        <v>0</v>
      </c>
      <c r="AA63" s="143">
        <f t="shared" si="30"/>
        <v>12</v>
      </c>
      <c r="AB63" s="143">
        <f t="shared" si="30"/>
        <v>0</v>
      </c>
      <c r="AC63" s="143">
        <f t="shared" si="30"/>
        <v>10</v>
      </c>
      <c r="AD63" s="143"/>
      <c r="AE63" s="143">
        <f t="shared" si="30"/>
        <v>5</v>
      </c>
      <c r="AF63" s="143">
        <f t="shared" si="30"/>
        <v>0</v>
      </c>
      <c r="AG63" s="143">
        <f t="shared" si="30"/>
        <v>5</v>
      </c>
      <c r="AH63" s="143">
        <f t="shared" si="30"/>
        <v>0</v>
      </c>
      <c r="AI63" s="143">
        <f t="shared" si="30"/>
        <v>0</v>
      </c>
      <c r="AJ63" s="143">
        <f t="shared" si="30"/>
        <v>0</v>
      </c>
      <c r="AK63" s="143">
        <f t="shared" si="30"/>
        <v>12</v>
      </c>
      <c r="AL63" s="143">
        <f t="shared" si="30"/>
        <v>0</v>
      </c>
      <c r="AM63" s="143">
        <f t="shared" si="30"/>
        <v>0</v>
      </c>
      <c r="AN63" s="143">
        <f t="shared" si="30"/>
        <v>0</v>
      </c>
      <c r="AO63" s="143">
        <f t="shared" si="30"/>
        <v>6</v>
      </c>
      <c r="AP63" s="143">
        <f t="shared" si="30"/>
        <v>0</v>
      </c>
      <c r="AQ63" s="143">
        <f t="shared" si="30"/>
        <v>10</v>
      </c>
      <c r="AR63" s="143">
        <f t="shared" si="30"/>
        <v>0</v>
      </c>
      <c r="AS63" s="143">
        <f t="shared" si="30"/>
        <v>0</v>
      </c>
      <c r="AT63" s="143">
        <f t="shared" si="30"/>
        <v>17</v>
      </c>
      <c r="AU63" s="143"/>
      <c r="AV63" s="143"/>
      <c r="AW63" s="143">
        <f t="shared" si="25"/>
        <v>0</v>
      </c>
      <c r="AX63" s="143">
        <f t="shared" si="25"/>
        <v>22</v>
      </c>
      <c r="AY63" s="143"/>
      <c r="AZ63" s="143"/>
      <c r="BA63" s="143"/>
      <c r="BB63" s="143"/>
      <c r="BC63" s="143"/>
      <c r="BD63" s="143"/>
      <c r="BE63" s="143"/>
      <c r="BF63" s="143">
        <f t="shared" si="26"/>
        <v>0</v>
      </c>
      <c r="BG63" s="143"/>
      <c r="BH63" s="143"/>
      <c r="BI63" s="143"/>
      <c r="BJ63" s="143">
        <f t="shared" si="27"/>
        <v>0</v>
      </c>
      <c r="BK63" s="143"/>
      <c r="BL63" s="224">
        <f t="shared" si="12"/>
        <v>0</v>
      </c>
      <c r="BM63" s="6"/>
    </row>
    <row r="64" spans="1:65" hidden="1" x14ac:dyDescent="0.2">
      <c r="A64" s="172" t="s">
        <v>139</v>
      </c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4"/>
      <c r="O64" s="143">
        <f t="shared" si="23"/>
        <v>0</v>
      </c>
      <c r="P64" s="143">
        <f t="shared" si="23"/>
        <v>8</v>
      </c>
      <c r="Q64" s="143">
        <f t="shared" si="21"/>
        <v>0</v>
      </c>
      <c r="R64" s="143">
        <f t="shared" ref="R64:AT64" si="31">SUM(R9:R62)</f>
        <v>19</v>
      </c>
      <c r="S64" s="143">
        <f t="shared" si="31"/>
        <v>16</v>
      </c>
      <c r="T64" s="143">
        <f t="shared" si="31"/>
        <v>0</v>
      </c>
      <c r="U64" s="143">
        <f t="shared" si="31"/>
        <v>0</v>
      </c>
      <c r="V64" s="143">
        <f t="shared" si="31"/>
        <v>19</v>
      </c>
      <c r="W64" s="143">
        <f t="shared" si="31"/>
        <v>0</v>
      </c>
      <c r="X64" s="143">
        <f t="shared" si="31"/>
        <v>0</v>
      </c>
      <c r="Y64" s="143">
        <f t="shared" si="31"/>
        <v>8</v>
      </c>
      <c r="Z64" s="143">
        <f t="shared" si="31"/>
        <v>0</v>
      </c>
      <c r="AA64" s="143">
        <f t="shared" si="31"/>
        <v>19</v>
      </c>
      <c r="AB64" s="143">
        <f t="shared" si="31"/>
        <v>0</v>
      </c>
      <c r="AC64" s="143">
        <f t="shared" si="31"/>
        <v>16</v>
      </c>
      <c r="AD64" s="143"/>
      <c r="AE64" s="143">
        <f t="shared" si="31"/>
        <v>8</v>
      </c>
      <c r="AF64" s="143">
        <f t="shared" si="31"/>
        <v>0</v>
      </c>
      <c r="AG64" s="143">
        <f t="shared" si="31"/>
        <v>8</v>
      </c>
      <c r="AH64" s="143">
        <f t="shared" si="31"/>
        <v>0</v>
      </c>
      <c r="AI64" s="143">
        <f t="shared" si="31"/>
        <v>0</v>
      </c>
      <c r="AJ64" s="143">
        <f t="shared" si="31"/>
        <v>0</v>
      </c>
      <c r="AK64" s="143">
        <f t="shared" si="31"/>
        <v>19</v>
      </c>
      <c r="AL64" s="143">
        <f t="shared" si="31"/>
        <v>0</v>
      </c>
      <c r="AM64" s="143">
        <f t="shared" si="31"/>
        <v>0</v>
      </c>
      <c r="AN64" s="143">
        <f t="shared" si="31"/>
        <v>0</v>
      </c>
      <c r="AO64" s="143">
        <f t="shared" si="31"/>
        <v>10</v>
      </c>
      <c r="AP64" s="143">
        <f t="shared" si="31"/>
        <v>0</v>
      </c>
      <c r="AQ64" s="143">
        <f t="shared" si="31"/>
        <v>16</v>
      </c>
      <c r="AR64" s="143">
        <f t="shared" si="31"/>
        <v>0</v>
      </c>
      <c r="AS64" s="143">
        <f t="shared" si="31"/>
        <v>0</v>
      </c>
      <c r="AT64" s="143">
        <f t="shared" si="31"/>
        <v>27</v>
      </c>
      <c r="AU64" s="143"/>
      <c r="AV64" s="143"/>
      <c r="AW64" s="143">
        <f t="shared" si="25"/>
        <v>0</v>
      </c>
      <c r="AX64" s="143">
        <f t="shared" si="25"/>
        <v>34</v>
      </c>
      <c r="AY64" s="143"/>
      <c r="AZ64" s="143"/>
      <c r="BA64" s="143"/>
      <c r="BB64" s="143"/>
      <c r="BC64" s="143"/>
      <c r="BD64" s="143"/>
      <c r="BE64" s="143"/>
      <c r="BF64" s="143">
        <f t="shared" si="26"/>
        <v>0</v>
      </c>
      <c r="BG64" s="143"/>
      <c r="BH64" s="143"/>
      <c r="BI64" s="143"/>
      <c r="BJ64" s="143">
        <f t="shared" si="27"/>
        <v>0</v>
      </c>
      <c r="BK64" s="143"/>
      <c r="BL64" s="224">
        <f t="shared" si="12"/>
        <v>0</v>
      </c>
      <c r="BM64" s="6"/>
    </row>
    <row r="65" spans="1:65" hidden="1" x14ac:dyDescent="0.2">
      <c r="A65" s="171" t="s">
        <v>140</v>
      </c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70"/>
      <c r="O65" s="143">
        <f t="shared" si="23"/>
        <v>0</v>
      </c>
      <c r="P65" s="143">
        <f t="shared" si="23"/>
        <v>13</v>
      </c>
      <c r="Q65" s="143">
        <f t="shared" si="21"/>
        <v>0</v>
      </c>
      <c r="R65" s="143">
        <f t="shared" ref="R65:AT65" si="32">SUM(R10:R63)</f>
        <v>31</v>
      </c>
      <c r="S65" s="143">
        <f t="shared" si="32"/>
        <v>26</v>
      </c>
      <c r="T65" s="143">
        <f t="shared" si="32"/>
        <v>0</v>
      </c>
      <c r="U65" s="143">
        <f t="shared" si="32"/>
        <v>0</v>
      </c>
      <c r="V65" s="143">
        <f t="shared" si="32"/>
        <v>31</v>
      </c>
      <c r="W65" s="143">
        <f t="shared" si="32"/>
        <v>0</v>
      </c>
      <c r="X65" s="143">
        <f t="shared" si="32"/>
        <v>0</v>
      </c>
      <c r="Y65" s="143">
        <f t="shared" si="32"/>
        <v>13</v>
      </c>
      <c r="Z65" s="143">
        <f t="shared" si="32"/>
        <v>0</v>
      </c>
      <c r="AA65" s="143">
        <f t="shared" si="32"/>
        <v>31</v>
      </c>
      <c r="AB65" s="143">
        <f t="shared" si="32"/>
        <v>0</v>
      </c>
      <c r="AC65" s="143">
        <f t="shared" si="32"/>
        <v>26</v>
      </c>
      <c r="AD65" s="143"/>
      <c r="AE65" s="143">
        <f t="shared" si="32"/>
        <v>13</v>
      </c>
      <c r="AF65" s="143">
        <f t="shared" si="32"/>
        <v>0</v>
      </c>
      <c r="AG65" s="143">
        <f t="shared" si="32"/>
        <v>13</v>
      </c>
      <c r="AH65" s="143">
        <f t="shared" si="32"/>
        <v>0</v>
      </c>
      <c r="AI65" s="143">
        <f t="shared" si="32"/>
        <v>0</v>
      </c>
      <c r="AJ65" s="143">
        <f t="shared" si="32"/>
        <v>0</v>
      </c>
      <c r="AK65" s="143">
        <f t="shared" si="32"/>
        <v>29</v>
      </c>
      <c r="AL65" s="143">
        <f t="shared" si="32"/>
        <v>0</v>
      </c>
      <c r="AM65" s="143">
        <f t="shared" si="32"/>
        <v>0</v>
      </c>
      <c r="AN65" s="143">
        <f t="shared" si="32"/>
        <v>0</v>
      </c>
      <c r="AO65" s="143">
        <f t="shared" si="32"/>
        <v>16</v>
      </c>
      <c r="AP65" s="143">
        <f t="shared" si="32"/>
        <v>0</v>
      </c>
      <c r="AQ65" s="143">
        <f t="shared" si="32"/>
        <v>26</v>
      </c>
      <c r="AR65" s="143">
        <f t="shared" si="32"/>
        <v>0</v>
      </c>
      <c r="AS65" s="143">
        <f t="shared" si="32"/>
        <v>0</v>
      </c>
      <c r="AT65" s="143">
        <f t="shared" si="32"/>
        <v>44</v>
      </c>
      <c r="AU65" s="143"/>
      <c r="AV65" s="143"/>
      <c r="AW65" s="143">
        <f t="shared" si="25"/>
        <v>0</v>
      </c>
      <c r="AX65" s="143">
        <f t="shared" si="25"/>
        <v>56</v>
      </c>
      <c r="AY65" s="143"/>
      <c r="AZ65" s="143"/>
      <c r="BA65" s="143"/>
      <c r="BB65" s="143"/>
      <c r="BC65" s="143"/>
      <c r="BD65" s="143"/>
      <c r="BE65" s="143"/>
      <c r="BF65" s="143">
        <f t="shared" si="26"/>
        <v>0</v>
      </c>
      <c r="BG65" s="143"/>
      <c r="BH65" s="143"/>
      <c r="BI65" s="143"/>
      <c r="BJ65" s="143">
        <f t="shared" si="27"/>
        <v>0</v>
      </c>
      <c r="BK65" s="143"/>
      <c r="BL65" s="224">
        <f t="shared" si="12"/>
        <v>0</v>
      </c>
      <c r="BM65" s="6"/>
    </row>
    <row r="66" spans="1:65" hidden="1" x14ac:dyDescent="0.2">
      <c r="A66" s="171" t="s">
        <v>141</v>
      </c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70"/>
      <c r="O66" s="143">
        <f t="shared" si="23"/>
        <v>0</v>
      </c>
      <c r="P66" s="143">
        <f t="shared" si="23"/>
        <v>21</v>
      </c>
      <c r="Q66" s="143">
        <f t="shared" si="21"/>
        <v>0</v>
      </c>
      <c r="R66" s="143">
        <f t="shared" ref="R66:AT66" si="33">SUM(R11:R64)</f>
        <v>50</v>
      </c>
      <c r="S66" s="143">
        <f t="shared" si="33"/>
        <v>42</v>
      </c>
      <c r="T66" s="143">
        <f t="shared" si="33"/>
        <v>0</v>
      </c>
      <c r="U66" s="143">
        <f t="shared" si="33"/>
        <v>0</v>
      </c>
      <c r="V66" s="143">
        <f t="shared" si="33"/>
        <v>50</v>
      </c>
      <c r="W66" s="143">
        <f t="shared" si="33"/>
        <v>0</v>
      </c>
      <c r="X66" s="143">
        <f t="shared" si="33"/>
        <v>0</v>
      </c>
      <c r="Y66" s="143">
        <f t="shared" si="33"/>
        <v>21</v>
      </c>
      <c r="Z66" s="143">
        <f t="shared" si="33"/>
        <v>0</v>
      </c>
      <c r="AA66" s="143">
        <f t="shared" si="33"/>
        <v>50</v>
      </c>
      <c r="AB66" s="143">
        <f t="shared" si="33"/>
        <v>0</v>
      </c>
      <c r="AC66" s="143">
        <f t="shared" si="33"/>
        <v>42</v>
      </c>
      <c r="AD66" s="143"/>
      <c r="AE66" s="143">
        <f t="shared" si="33"/>
        <v>21</v>
      </c>
      <c r="AF66" s="143">
        <f t="shared" si="33"/>
        <v>0</v>
      </c>
      <c r="AG66" s="143">
        <f t="shared" si="33"/>
        <v>21</v>
      </c>
      <c r="AH66" s="143">
        <f t="shared" si="33"/>
        <v>0</v>
      </c>
      <c r="AI66" s="143">
        <f t="shared" si="33"/>
        <v>0</v>
      </c>
      <c r="AJ66" s="143">
        <f t="shared" si="33"/>
        <v>0</v>
      </c>
      <c r="AK66" s="143">
        <f t="shared" si="33"/>
        <v>48</v>
      </c>
      <c r="AL66" s="143">
        <f t="shared" si="33"/>
        <v>0</v>
      </c>
      <c r="AM66" s="143">
        <f t="shared" si="33"/>
        <v>0</v>
      </c>
      <c r="AN66" s="143">
        <f t="shared" si="33"/>
        <v>0</v>
      </c>
      <c r="AO66" s="143">
        <f t="shared" si="33"/>
        <v>26</v>
      </c>
      <c r="AP66" s="143">
        <f t="shared" si="33"/>
        <v>0</v>
      </c>
      <c r="AQ66" s="143">
        <f t="shared" si="33"/>
        <v>42</v>
      </c>
      <c r="AR66" s="143">
        <f t="shared" si="33"/>
        <v>0</v>
      </c>
      <c r="AS66" s="143">
        <f t="shared" si="33"/>
        <v>0</v>
      </c>
      <c r="AT66" s="143">
        <f t="shared" si="33"/>
        <v>71</v>
      </c>
      <c r="AU66" s="143"/>
      <c r="AV66" s="143"/>
      <c r="AW66" s="143">
        <f t="shared" si="25"/>
        <v>0</v>
      </c>
      <c r="AX66" s="143">
        <f t="shared" si="25"/>
        <v>90</v>
      </c>
      <c r="AY66" s="143"/>
      <c r="AZ66" s="143"/>
      <c r="BA66" s="143"/>
      <c r="BB66" s="143"/>
      <c r="BC66" s="143"/>
      <c r="BD66" s="143"/>
      <c r="BE66" s="143"/>
      <c r="BF66" s="143">
        <f t="shared" si="26"/>
        <v>0</v>
      </c>
      <c r="BG66" s="143"/>
      <c r="BH66" s="143"/>
      <c r="BI66" s="143"/>
      <c r="BJ66" s="143">
        <f t="shared" si="27"/>
        <v>0</v>
      </c>
      <c r="BK66" s="143"/>
      <c r="BL66" s="224">
        <f t="shared" si="12"/>
        <v>0</v>
      </c>
      <c r="BM66" s="6"/>
    </row>
    <row r="67" spans="1:65" hidden="1" x14ac:dyDescent="0.2">
      <c r="A67" s="171" t="s">
        <v>142</v>
      </c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70"/>
      <c r="O67" s="143">
        <f t="shared" si="23"/>
        <v>0</v>
      </c>
      <c r="P67" s="143">
        <f t="shared" si="23"/>
        <v>34</v>
      </c>
      <c r="Q67" s="139" t="str">
        <f>Q2</f>
        <v>LB</v>
      </c>
      <c r="R67" s="143">
        <f t="shared" ref="R67:AT67" si="34">SUM(R12:R65)</f>
        <v>81</v>
      </c>
      <c r="S67" s="143">
        <f t="shared" si="34"/>
        <v>68</v>
      </c>
      <c r="T67" s="143">
        <f t="shared" si="34"/>
        <v>0</v>
      </c>
      <c r="U67" s="143">
        <f t="shared" si="34"/>
        <v>0</v>
      </c>
      <c r="V67" s="143">
        <f t="shared" si="34"/>
        <v>81</v>
      </c>
      <c r="W67" s="143">
        <f t="shared" si="34"/>
        <v>0</v>
      </c>
      <c r="X67" s="143">
        <f t="shared" si="34"/>
        <v>0</v>
      </c>
      <c r="Y67" s="143">
        <f t="shared" si="34"/>
        <v>34</v>
      </c>
      <c r="Z67" s="143">
        <f t="shared" si="34"/>
        <v>0</v>
      </c>
      <c r="AA67" s="143">
        <f t="shared" si="34"/>
        <v>81</v>
      </c>
      <c r="AB67" s="143">
        <f t="shared" si="34"/>
        <v>0</v>
      </c>
      <c r="AC67" s="143">
        <f t="shared" si="34"/>
        <v>68</v>
      </c>
      <c r="AD67" s="143"/>
      <c r="AE67" s="143">
        <f t="shared" si="34"/>
        <v>34</v>
      </c>
      <c r="AF67" s="143">
        <f t="shared" si="34"/>
        <v>0</v>
      </c>
      <c r="AG67" s="143">
        <f t="shared" si="34"/>
        <v>34</v>
      </c>
      <c r="AH67" s="143">
        <f t="shared" si="34"/>
        <v>0</v>
      </c>
      <c r="AI67" s="143">
        <f t="shared" si="34"/>
        <v>0</v>
      </c>
      <c r="AJ67" s="143">
        <f t="shared" si="34"/>
        <v>0</v>
      </c>
      <c r="AK67" s="143">
        <f t="shared" si="34"/>
        <v>77</v>
      </c>
      <c r="AL67" s="143">
        <f t="shared" si="34"/>
        <v>0</v>
      </c>
      <c r="AM67" s="143">
        <f t="shared" si="34"/>
        <v>0</v>
      </c>
      <c r="AN67" s="143">
        <f t="shared" si="34"/>
        <v>0</v>
      </c>
      <c r="AO67" s="143">
        <f t="shared" si="34"/>
        <v>42</v>
      </c>
      <c r="AP67" s="143">
        <f t="shared" si="34"/>
        <v>0</v>
      </c>
      <c r="AQ67" s="143">
        <f t="shared" si="34"/>
        <v>68</v>
      </c>
      <c r="AR67" s="143">
        <f t="shared" si="34"/>
        <v>0</v>
      </c>
      <c r="AS67" s="143">
        <f t="shared" si="34"/>
        <v>0</v>
      </c>
      <c r="AT67" s="143">
        <f t="shared" si="34"/>
        <v>115</v>
      </c>
      <c r="AU67" s="143"/>
      <c r="AV67" s="143"/>
      <c r="AW67" s="143">
        <f t="shared" si="25"/>
        <v>0</v>
      </c>
      <c r="AX67" s="143">
        <f t="shared" si="25"/>
        <v>146</v>
      </c>
      <c r="AY67" s="143"/>
      <c r="AZ67" s="143"/>
      <c r="BA67" s="143"/>
      <c r="BB67" s="143"/>
      <c r="BC67" s="143"/>
      <c r="BD67" s="143"/>
      <c r="BE67" s="143"/>
      <c r="BF67" s="143">
        <f t="shared" si="26"/>
        <v>0</v>
      </c>
      <c r="BG67" s="143"/>
      <c r="BH67" s="143"/>
      <c r="BI67" s="143"/>
      <c r="BJ67" s="143">
        <f t="shared" si="27"/>
        <v>0</v>
      </c>
      <c r="BK67" s="143"/>
      <c r="BL67" s="224">
        <f t="shared" si="12"/>
        <v>0</v>
      </c>
    </row>
    <row r="68" spans="1:65" hidden="1" x14ac:dyDescent="0.2">
      <c r="A68" s="148"/>
      <c r="B68" s="149"/>
      <c r="C68" s="134"/>
      <c r="D68" s="134"/>
      <c r="E68" s="135"/>
      <c r="F68" s="134"/>
      <c r="G68" s="134"/>
      <c r="H68" s="134"/>
      <c r="I68" s="134"/>
      <c r="J68" s="134"/>
      <c r="K68" s="134"/>
      <c r="L68" s="136"/>
      <c r="M68" s="136"/>
      <c r="N68" s="152"/>
      <c r="O68" s="144" t="s">
        <v>37</v>
      </c>
      <c r="P68" s="139" t="str">
        <f>P2</f>
        <v>Lbe</v>
      </c>
      <c r="Q68" s="144" t="str">
        <f>Q2</f>
        <v>LB</v>
      </c>
      <c r="R68" s="139" t="str">
        <f t="shared" ref="R68:AT68" si="35">R2</f>
        <v>Sca</v>
      </c>
      <c r="S68" s="139" t="str">
        <f t="shared" si="35"/>
        <v>TD</v>
      </c>
      <c r="T68" s="139" t="str">
        <f t="shared" si="35"/>
        <v>WvD</v>
      </c>
      <c r="U68" s="139" t="str">
        <f t="shared" si="35"/>
        <v>CE</v>
      </c>
      <c r="V68" s="139" t="str">
        <f t="shared" si="35"/>
        <v>AF</v>
      </c>
      <c r="W68" s="139" t="str">
        <f t="shared" si="35"/>
        <v>WG</v>
      </c>
      <c r="X68" s="139" t="str">
        <f t="shared" si="35"/>
        <v>TG</v>
      </c>
      <c r="Y68" s="139" t="str">
        <f t="shared" si="35"/>
        <v>RH</v>
      </c>
      <c r="Z68" s="139" t="str">
        <f t="shared" si="35"/>
        <v>CH</v>
      </c>
      <c r="AA68" s="139" t="str">
        <f t="shared" si="35"/>
        <v>KH</v>
      </c>
      <c r="AB68" s="139" t="str">
        <f t="shared" si="35"/>
        <v>MH</v>
      </c>
      <c r="AC68" s="139" t="str">
        <f t="shared" si="35"/>
        <v>MK</v>
      </c>
      <c r="AD68" s="139"/>
      <c r="AE68" s="139" t="str">
        <f t="shared" si="35"/>
        <v>EM</v>
      </c>
      <c r="AF68" s="139" t="str">
        <f t="shared" si="35"/>
        <v>DM</v>
      </c>
      <c r="AG68" s="139" t="str">
        <f t="shared" si="35"/>
        <v>JM</v>
      </c>
      <c r="AH68" s="139" t="str">
        <f t="shared" si="35"/>
        <v>UM</v>
      </c>
      <c r="AI68" s="139" t="str">
        <f t="shared" si="35"/>
        <v>AO</v>
      </c>
      <c r="AJ68" s="139" t="str">
        <f t="shared" si="35"/>
        <v>JvP</v>
      </c>
      <c r="AK68" s="139" t="str">
        <f t="shared" si="35"/>
        <v>CR</v>
      </c>
      <c r="AL68" s="139" t="str">
        <f t="shared" si="35"/>
        <v>IR</v>
      </c>
      <c r="AM68" s="139" t="str">
        <f t="shared" si="35"/>
        <v>JS</v>
      </c>
      <c r="AN68" s="139" t="str">
        <f t="shared" si="35"/>
        <v>BS</v>
      </c>
      <c r="AO68" s="139" t="str">
        <f t="shared" si="35"/>
        <v>MS</v>
      </c>
      <c r="AP68" s="139" t="str">
        <f t="shared" si="35"/>
        <v>PV</v>
      </c>
      <c r="AQ68" s="139" t="str">
        <f t="shared" si="35"/>
        <v>DV</v>
      </c>
      <c r="AR68" s="139" t="str">
        <f t="shared" si="35"/>
        <v>JW</v>
      </c>
      <c r="AS68" s="139" t="str">
        <f t="shared" si="35"/>
        <v>AW</v>
      </c>
      <c r="AT68" s="139" t="str">
        <f t="shared" si="35"/>
        <v>CYPL</v>
      </c>
      <c r="AU68" s="139"/>
      <c r="AV68" s="139"/>
      <c r="AW68" s="139" t="s">
        <v>37</v>
      </c>
      <c r="AX68" s="139" t="s">
        <v>37</v>
      </c>
      <c r="AY68" s="139"/>
      <c r="AZ68" s="139"/>
      <c r="BA68" s="139"/>
      <c r="BB68" s="139"/>
      <c r="BC68" s="139"/>
      <c r="BD68" s="139"/>
      <c r="BE68" s="139"/>
      <c r="BF68" s="139" t="s">
        <v>37</v>
      </c>
      <c r="BG68" s="139"/>
      <c r="BH68" s="139"/>
      <c r="BI68" s="139"/>
      <c r="BJ68" s="139" t="s">
        <v>37</v>
      </c>
      <c r="BK68" s="139"/>
      <c r="BL68" s="224">
        <f t="shared" si="12"/>
        <v>0</v>
      </c>
    </row>
    <row r="69" spans="1:65" hidden="1" x14ac:dyDescent="0.2">
      <c r="A69" s="155"/>
      <c r="B69" s="156"/>
      <c r="C69" s="117"/>
      <c r="D69" s="117"/>
      <c r="E69" s="137"/>
      <c r="F69" s="117"/>
      <c r="G69" s="117"/>
      <c r="H69" s="117"/>
      <c r="I69" s="117"/>
      <c r="J69" s="117"/>
      <c r="K69" s="117"/>
      <c r="L69" s="138"/>
      <c r="M69" s="138"/>
      <c r="N69" s="157"/>
      <c r="O69" s="144" t="str">
        <f t="shared" ref="O69:AT69" si="36">O2</f>
        <v>FAC</v>
      </c>
      <c r="P69" s="144" t="str">
        <f t="shared" si="36"/>
        <v>Lbe</v>
      </c>
      <c r="Q69" s="6"/>
      <c r="R69" s="144" t="str">
        <f t="shared" si="36"/>
        <v>Sca</v>
      </c>
      <c r="S69" s="144" t="str">
        <f t="shared" si="36"/>
        <v>TD</v>
      </c>
      <c r="T69" s="144" t="str">
        <f t="shared" si="36"/>
        <v>WvD</v>
      </c>
      <c r="U69" s="144" t="str">
        <f t="shared" si="36"/>
        <v>CE</v>
      </c>
      <c r="V69" s="144" t="str">
        <f t="shared" si="36"/>
        <v>AF</v>
      </c>
      <c r="W69" s="144" t="str">
        <f t="shared" si="36"/>
        <v>WG</v>
      </c>
      <c r="X69" s="144" t="str">
        <f t="shared" si="36"/>
        <v>TG</v>
      </c>
      <c r="Y69" s="144" t="str">
        <f t="shared" si="36"/>
        <v>RH</v>
      </c>
      <c r="Z69" s="144" t="str">
        <f t="shared" si="36"/>
        <v>CH</v>
      </c>
      <c r="AA69" s="144" t="str">
        <f t="shared" si="36"/>
        <v>KH</v>
      </c>
      <c r="AB69" s="144" t="str">
        <f t="shared" si="36"/>
        <v>MH</v>
      </c>
      <c r="AC69" s="144" t="str">
        <f t="shared" si="36"/>
        <v>MK</v>
      </c>
      <c r="AD69" s="144"/>
      <c r="AE69" s="144" t="str">
        <f t="shared" si="36"/>
        <v>EM</v>
      </c>
      <c r="AF69" s="144" t="str">
        <f t="shared" si="36"/>
        <v>DM</v>
      </c>
      <c r="AG69" s="144" t="str">
        <f t="shared" si="36"/>
        <v>JM</v>
      </c>
      <c r="AH69" s="144" t="str">
        <f t="shared" si="36"/>
        <v>UM</v>
      </c>
      <c r="AI69" s="144" t="str">
        <f t="shared" si="36"/>
        <v>AO</v>
      </c>
      <c r="AJ69" s="144" t="str">
        <f t="shared" si="36"/>
        <v>JvP</v>
      </c>
      <c r="AK69" s="144" t="str">
        <f t="shared" si="36"/>
        <v>CR</v>
      </c>
      <c r="AL69" s="144" t="str">
        <f t="shared" si="36"/>
        <v>IR</v>
      </c>
      <c r="AM69" s="144" t="str">
        <f t="shared" si="36"/>
        <v>JS</v>
      </c>
      <c r="AN69" s="144" t="str">
        <f t="shared" si="36"/>
        <v>BS</v>
      </c>
      <c r="AO69" s="144" t="str">
        <f t="shared" si="36"/>
        <v>MS</v>
      </c>
      <c r="AP69" s="144" t="str">
        <f t="shared" si="36"/>
        <v>PV</v>
      </c>
      <c r="AQ69" s="144" t="str">
        <f t="shared" si="36"/>
        <v>DV</v>
      </c>
      <c r="AR69" s="144" t="str">
        <f t="shared" si="36"/>
        <v>JW</v>
      </c>
      <c r="AS69" s="144" t="str">
        <f t="shared" si="36"/>
        <v>AW</v>
      </c>
      <c r="AT69" s="144" t="str">
        <f t="shared" si="36"/>
        <v>CYPL</v>
      </c>
      <c r="AU69" s="139"/>
      <c r="AV69" s="139"/>
      <c r="AW69" s="139" t="str">
        <f>AW2</f>
        <v>CC/OBP</v>
      </c>
      <c r="AX69" s="139" t="str">
        <f>AX2</f>
        <v>XT/D4</v>
      </c>
      <c r="AY69" s="139"/>
      <c r="AZ69" s="139"/>
      <c r="BA69" s="139"/>
      <c r="BB69" s="139"/>
      <c r="BC69" s="139"/>
      <c r="BD69" s="139"/>
      <c r="BE69" s="139"/>
      <c r="BF69" s="139" t="str">
        <f t="shared" ref="BF69:BJ69" si="37">BF2</f>
        <v>APT/D4</v>
      </c>
      <c r="BG69" s="139"/>
      <c r="BH69" s="139"/>
      <c r="BI69" s="139"/>
      <c r="BJ69" s="139" t="str">
        <f t="shared" si="37"/>
        <v>JvZ/D4</v>
      </c>
      <c r="BK69" s="139"/>
      <c r="BL69" s="224">
        <f t="shared" ref="BL69" si="38">G69-BK69</f>
        <v>0</v>
      </c>
    </row>
    <row r="70" spans="1:6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65" hidden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spans="1:65" ht="13.2" hidden="1" x14ac:dyDescent="0.25">
      <c r="I72" s="102"/>
    </row>
    <row r="73" spans="1:65" ht="13.2" x14ac:dyDescent="0.25">
      <c r="A73" s="103" t="s">
        <v>27</v>
      </c>
      <c r="I73" s="102"/>
    </row>
    <row r="74" spans="1:65" ht="13.2" x14ac:dyDescent="0.25">
      <c r="A74" s="104" t="s">
        <v>0</v>
      </c>
      <c r="I74" s="102"/>
    </row>
    <row r="75" spans="1:65" ht="13.2" x14ac:dyDescent="0.25">
      <c r="A75" s="105" t="s">
        <v>28</v>
      </c>
      <c r="I75" s="102"/>
    </row>
  </sheetData>
  <autoFilter ref="A3:BM3"/>
  <mergeCells count="1">
    <mergeCell ref="AU1:BJ1"/>
  </mergeCells>
  <phoneticPr fontId="4" type="noConversion"/>
  <conditionalFormatting sqref="BM5">
    <cfRule type="containsText" dxfId="17" priority="5" operator="containsText" text="Oke">
      <formula>NOT(ISERROR(SEARCH("Oke",BM5)))</formula>
    </cfRule>
    <cfRule type="containsText" dxfId="16" priority="6" operator="containsText" text="Problem">
      <formula>NOT(ISERROR(SEARCH("Problem",BM5)))</formula>
    </cfRule>
    <cfRule type="colorScale" priority="7">
      <colorScale>
        <cfvo type="formula" val="$BM$5"/>
        <cfvo type="max"/>
        <color rgb="FF00B050"/>
        <color rgb="FFFF0000"/>
      </colorScale>
    </cfRule>
  </conditionalFormatting>
  <conditionalFormatting sqref="BM5:BM58">
    <cfRule type="containsText" dxfId="15" priority="3" operator="containsText" text="Oke">
      <formula>NOT(ISERROR(SEARCH("Oke",BM5)))</formula>
    </cfRule>
    <cfRule type="containsText" dxfId="14" priority="4" operator="containsText" text="Problem">
      <formula>NOT(ISERROR(SEARCH("Problem",BM5)))</formula>
    </cfRule>
  </conditionalFormatting>
  <conditionalFormatting sqref="BN5">
    <cfRule type="containsText" dxfId="13" priority="1" operator="containsText" text="Oke">
      <formula>NOT(ISERROR(SEARCH("Oke",BN5)))</formula>
    </cfRule>
    <cfRule type="containsText" dxfId="12" priority="2" operator="containsText" text="Problem">
      <formula>NOT(ISERROR(SEARCH("Problem",BN5)))</formula>
    </cfRule>
  </conditionalFormatting>
  <pageMargins left="0.35433070866141736" right="0.35433070866141736" top="0.39370078740157483" bottom="0.39370078740157483" header="0.51181102362204722" footer="0.51181102362204722"/>
  <pageSetup paperSize="9" scale="50" orientation="landscape" r:id="rId1"/>
  <headerFooter alignWithMargins="0"/>
  <ignoredErrors>
    <ignoredError sqref="F19 F30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X68"/>
  <sheetViews>
    <sheetView zoomScaleNormal="100" workbookViewId="0">
      <pane xSplit="13" topLeftCell="BP1" activePane="topRight" state="frozen"/>
      <selection pane="topRight" activeCell="M7" sqref="M7"/>
    </sheetView>
  </sheetViews>
  <sheetFormatPr defaultColWidth="8.88671875" defaultRowHeight="10.199999999999999" x14ac:dyDescent="0.2"/>
  <cols>
    <col min="1" max="1" width="9.5546875" style="1" customWidth="1"/>
    <col min="2" max="2" width="89.88671875" style="128" bestFit="1" customWidth="1"/>
    <col min="3" max="3" width="10" style="1" customWidth="1"/>
    <col min="4" max="4" width="22" style="1" bestFit="1" customWidth="1"/>
    <col min="5" max="5" width="4.88671875" style="2" customWidth="1"/>
    <col min="6" max="6" width="4.44140625" style="1" customWidth="1"/>
    <col min="7" max="7" width="4.88671875" style="1" customWidth="1"/>
    <col min="8" max="8" width="6.44140625" style="1" customWidth="1"/>
    <col min="9" max="9" width="4.88671875" style="1" customWidth="1"/>
    <col min="10" max="10" width="4.5546875" style="1" customWidth="1"/>
    <col min="11" max="11" width="6.44140625" style="1" customWidth="1"/>
    <col min="12" max="13" width="8.44140625" style="3" customWidth="1"/>
    <col min="14" max="14" width="8.109375" style="1" customWidth="1"/>
    <col min="15" max="16" width="6.109375" style="4" customWidth="1"/>
    <col min="17" max="19" width="4.5546875" style="4" customWidth="1"/>
    <col min="20" max="21" width="4" style="4" customWidth="1"/>
    <col min="22" max="26" width="4.5546875" style="4" customWidth="1"/>
    <col min="27" max="27" width="4.44140625" style="5" customWidth="1"/>
    <col min="28" max="38" width="4.44140625" style="4" customWidth="1"/>
    <col min="39" max="40" width="4.44140625" style="5" customWidth="1"/>
    <col min="41" max="43" width="4.5546875" style="5" customWidth="1"/>
    <col min="44" max="44" width="4" style="4" customWidth="1"/>
    <col min="45" max="45" width="3.88671875" style="4" customWidth="1"/>
    <col min="46" max="46" width="6" style="4" customWidth="1"/>
    <col min="47" max="47" width="7.6640625" style="5" bestFit="1" customWidth="1"/>
    <col min="48" max="48" width="6.88671875" style="5" bestFit="1" customWidth="1"/>
    <col min="49" max="49" width="8" style="5" bestFit="1" customWidth="1"/>
    <col min="50" max="50" width="6.6640625" style="5" bestFit="1" customWidth="1"/>
    <col min="51" max="51" width="8" style="5" bestFit="1" customWidth="1"/>
    <col min="52" max="52" width="8" style="5" customWidth="1"/>
    <col min="53" max="53" width="8.5546875" style="5" bestFit="1" customWidth="1"/>
    <col min="54" max="54" width="6.6640625" style="5" bestFit="1" customWidth="1"/>
    <col min="55" max="56" width="7.5546875" style="5" bestFit="1" customWidth="1"/>
    <col min="57" max="57" width="6.88671875" style="5" bestFit="1" customWidth="1"/>
    <col min="58" max="58" width="8.109375" style="5" bestFit="1" customWidth="1"/>
    <col min="59" max="59" width="7.44140625" style="5" bestFit="1" customWidth="1"/>
    <col min="60" max="60" width="6.88671875" style="5" bestFit="1" customWidth="1"/>
    <col min="61" max="61" width="8" style="5" bestFit="1" customWidth="1"/>
    <col min="62" max="62" width="7.6640625" style="5" bestFit="1" customWidth="1"/>
    <col min="63" max="63" width="9.88671875" style="5" bestFit="1" customWidth="1"/>
    <col min="64" max="64" width="6.44140625" style="5" customWidth="1"/>
    <col min="65" max="65" width="10.44140625" style="4" customWidth="1"/>
    <col min="66" max="66" width="8.88671875" style="21" customWidth="1"/>
    <col min="67" max="67" width="120.44140625" style="21" bestFit="1" customWidth="1"/>
    <col min="68" max="76" width="8.88671875" style="21" customWidth="1"/>
    <col min="77" max="16384" width="8.88671875" style="6"/>
  </cols>
  <sheetData>
    <row r="1" spans="1:76" ht="12.75" customHeight="1" thickBot="1" x14ac:dyDescent="0.25">
      <c r="A1" s="7" t="s">
        <v>99</v>
      </c>
      <c r="B1" s="129"/>
      <c r="C1" s="8"/>
      <c r="D1" s="8"/>
      <c r="E1" s="9"/>
      <c r="F1" s="8"/>
      <c r="G1" s="8"/>
      <c r="H1" s="10"/>
      <c r="I1" s="77"/>
      <c r="J1" s="81"/>
      <c r="K1" s="11" t="s">
        <v>16</v>
      </c>
      <c r="L1" s="11"/>
      <c r="M1" s="11"/>
      <c r="N1" s="12"/>
      <c r="O1" s="230"/>
      <c r="P1" s="219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229"/>
      <c r="AR1" s="193"/>
      <c r="AS1" s="193"/>
      <c r="AT1" s="193" t="s">
        <v>694</v>
      </c>
      <c r="AU1" s="329" t="s">
        <v>694</v>
      </c>
      <c r="AV1" s="330"/>
      <c r="AW1" s="330"/>
      <c r="AX1" s="330"/>
      <c r="AY1" s="330"/>
      <c r="AZ1" s="330"/>
      <c r="BA1" s="330"/>
      <c r="BB1" s="330"/>
      <c r="BC1" s="330"/>
      <c r="BD1" s="330"/>
      <c r="BE1" s="330"/>
      <c r="BF1" s="330"/>
      <c r="BG1" s="330"/>
      <c r="BH1" s="330"/>
      <c r="BI1" s="330"/>
      <c r="BJ1" s="330"/>
      <c r="BK1" s="331"/>
      <c r="BL1" s="262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</row>
    <row r="2" spans="1:76" ht="30.6" x14ac:dyDescent="0.2">
      <c r="A2" s="13" t="s">
        <v>82</v>
      </c>
      <c r="B2" s="130" t="s">
        <v>83</v>
      </c>
      <c r="C2" s="14" t="s">
        <v>611</v>
      </c>
      <c r="D2" s="14" t="s">
        <v>84</v>
      </c>
      <c r="E2" s="15" t="s">
        <v>32</v>
      </c>
      <c r="F2" s="16" t="s">
        <v>33</v>
      </c>
      <c r="G2" s="16" t="s">
        <v>33</v>
      </c>
      <c r="H2" s="17" t="s">
        <v>74</v>
      </c>
      <c r="I2" s="78" t="s">
        <v>55</v>
      </c>
      <c r="J2" s="164" t="s">
        <v>56</v>
      </c>
      <c r="K2" s="165" t="s">
        <v>43</v>
      </c>
      <c r="L2" s="166" t="s">
        <v>136</v>
      </c>
      <c r="M2" s="167" t="s">
        <v>137</v>
      </c>
      <c r="N2" s="168" t="s">
        <v>86</v>
      </c>
      <c r="O2" s="20" t="s">
        <v>79</v>
      </c>
      <c r="P2" s="16" t="s">
        <v>152</v>
      </c>
      <c r="Q2" s="16" t="s">
        <v>69</v>
      </c>
      <c r="R2" s="73" t="s">
        <v>145</v>
      </c>
      <c r="S2" s="16" t="s">
        <v>13</v>
      </c>
      <c r="T2" s="192" t="s">
        <v>14</v>
      </c>
      <c r="U2" s="16" t="s">
        <v>102</v>
      </c>
      <c r="V2" s="73" t="s">
        <v>129</v>
      </c>
      <c r="W2" s="16" t="s">
        <v>12</v>
      </c>
      <c r="X2" s="218" t="s">
        <v>33</v>
      </c>
      <c r="Y2" s="16" t="s">
        <v>76</v>
      </c>
      <c r="Z2" s="16" t="s">
        <v>146</v>
      </c>
      <c r="AA2" s="16" t="s">
        <v>63</v>
      </c>
      <c r="AB2" s="16" t="s">
        <v>78</v>
      </c>
      <c r="AC2" s="73" t="s">
        <v>133</v>
      </c>
      <c r="AD2" s="218" t="s">
        <v>128</v>
      </c>
      <c r="AE2" s="192" t="s">
        <v>156</v>
      </c>
      <c r="AF2" s="312" t="s">
        <v>158</v>
      </c>
      <c r="AG2" s="16" t="s">
        <v>70</v>
      </c>
      <c r="AH2" s="16" t="s">
        <v>77</v>
      </c>
      <c r="AI2" s="73" t="s">
        <v>157</v>
      </c>
      <c r="AJ2" s="73" t="s">
        <v>149</v>
      </c>
      <c r="AK2" s="73" t="s">
        <v>80</v>
      </c>
      <c r="AL2" s="16" t="s">
        <v>100</v>
      </c>
      <c r="AM2" s="218" t="s">
        <v>29</v>
      </c>
      <c r="AN2" s="16" t="s">
        <v>62</v>
      </c>
      <c r="AO2" s="16" t="s">
        <v>35</v>
      </c>
      <c r="AP2" s="16" t="s">
        <v>75</v>
      </c>
      <c r="AQ2" s="16" t="s">
        <v>127</v>
      </c>
      <c r="AR2" s="218" t="s">
        <v>147</v>
      </c>
      <c r="AS2" s="73" t="s">
        <v>101</v>
      </c>
      <c r="AT2" s="221" t="s">
        <v>148</v>
      </c>
      <c r="AU2" s="210" t="s">
        <v>679</v>
      </c>
      <c r="AV2" s="210" t="s">
        <v>680</v>
      </c>
      <c r="AW2" s="210" t="s">
        <v>681</v>
      </c>
      <c r="AX2" s="210" t="s">
        <v>722</v>
      </c>
      <c r="AY2" s="315" t="s">
        <v>682</v>
      </c>
      <c r="AZ2" s="210" t="s">
        <v>707</v>
      </c>
      <c r="BA2" s="210" t="s">
        <v>709</v>
      </c>
      <c r="BB2" s="127" t="s">
        <v>683</v>
      </c>
      <c r="BC2" s="210" t="s">
        <v>684</v>
      </c>
      <c r="BD2" s="210" t="s">
        <v>685</v>
      </c>
      <c r="BE2" s="315" t="s">
        <v>686</v>
      </c>
      <c r="BF2" s="210" t="s">
        <v>687</v>
      </c>
      <c r="BG2" s="210" t="s">
        <v>688</v>
      </c>
      <c r="BH2" s="127" t="s">
        <v>689</v>
      </c>
      <c r="BI2" s="263" t="s">
        <v>708</v>
      </c>
      <c r="BJ2" s="161" t="s">
        <v>690</v>
      </c>
      <c r="BK2" s="212" t="s">
        <v>691</v>
      </c>
      <c r="BL2" s="187" t="s">
        <v>81</v>
      </c>
      <c r="BM2" s="185" t="s">
        <v>34</v>
      </c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</row>
    <row r="3" spans="1:76" x14ac:dyDescent="0.2">
      <c r="A3" s="22"/>
      <c r="B3" s="131"/>
      <c r="C3" s="23"/>
      <c r="D3" s="23"/>
      <c r="E3" s="15"/>
      <c r="F3" s="16"/>
      <c r="G3" s="16"/>
      <c r="H3" s="17"/>
      <c r="I3" s="78"/>
      <c r="J3" s="82"/>
      <c r="K3" s="80"/>
      <c r="L3" s="18"/>
      <c r="M3" s="163"/>
      <c r="N3" s="19"/>
      <c r="O3" s="20"/>
      <c r="P3" s="20"/>
      <c r="Q3" s="20"/>
      <c r="R3" s="20"/>
      <c r="S3" s="20"/>
      <c r="T3" s="16"/>
      <c r="U3" s="16"/>
      <c r="V3" s="192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263"/>
      <c r="BJ3" s="161"/>
      <c r="BK3" s="127"/>
      <c r="BL3" s="188"/>
      <c r="BM3" s="185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</row>
    <row r="4" spans="1:76" x14ac:dyDescent="0.2">
      <c r="A4" s="296" t="s">
        <v>275</v>
      </c>
      <c r="B4" s="297" t="s">
        <v>273</v>
      </c>
      <c r="C4" s="298" t="s">
        <v>27</v>
      </c>
      <c r="D4" s="298" t="s">
        <v>711</v>
      </c>
      <c r="E4" s="268"/>
      <c r="F4" s="24">
        <f>$E4/12</f>
        <v>0</v>
      </c>
      <c r="G4" s="249"/>
      <c r="H4" s="101">
        <f t="shared" ref="H4:H36" si="0">IF(G4=0,0,E4/G4)</f>
        <v>0</v>
      </c>
      <c r="I4" s="271"/>
      <c r="J4" s="272"/>
      <c r="K4" s="273"/>
      <c r="L4" s="274"/>
      <c r="M4" s="275"/>
      <c r="N4" s="275"/>
      <c r="O4" s="276"/>
      <c r="P4" s="305" t="s">
        <v>696</v>
      </c>
      <c r="Q4" s="276"/>
      <c r="R4" s="278">
        <v>1</v>
      </c>
      <c r="S4" s="276"/>
      <c r="T4" s="211"/>
      <c r="U4" s="282">
        <v>1</v>
      </c>
      <c r="V4" s="282">
        <v>1</v>
      </c>
      <c r="W4" s="285"/>
      <c r="X4" s="282" t="s">
        <v>696</v>
      </c>
      <c r="Y4" s="211"/>
      <c r="Z4" s="211"/>
      <c r="AA4" s="211"/>
      <c r="AB4" s="211"/>
      <c r="AC4" s="211"/>
      <c r="AD4" s="211"/>
      <c r="AE4" s="282" t="s">
        <v>696</v>
      </c>
      <c r="AF4" s="211"/>
      <c r="AG4" s="282" t="s">
        <v>696</v>
      </c>
      <c r="AH4" s="282">
        <v>1</v>
      </c>
      <c r="AI4" s="211"/>
      <c r="AJ4" s="211"/>
      <c r="AK4" s="282">
        <v>1</v>
      </c>
      <c r="AL4" s="285"/>
      <c r="AM4" s="211"/>
      <c r="AN4" s="211"/>
      <c r="AO4" s="282" t="s">
        <v>696</v>
      </c>
      <c r="AP4" s="283" t="s">
        <v>696</v>
      </c>
      <c r="AQ4" s="282" t="s">
        <v>696</v>
      </c>
      <c r="AR4" s="291" t="s">
        <v>696</v>
      </c>
      <c r="AS4" s="282" t="s">
        <v>696</v>
      </c>
      <c r="AT4" s="282">
        <v>1</v>
      </c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80"/>
      <c r="BJ4" s="280"/>
      <c r="BK4" s="279"/>
      <c r="BL4" s="277"/>
      <c r="BM4" s="277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</row>
    <row r="5" spans="1:76" ht="12.75" customHeight="1" x14ac:dyDescent="0.3">
      <c r="A5" s="294" t="s">
        <v>276</v>
      </c>
      <c r="B5" s="294" t="s">
        <v>277</v>
      </c>
      <c r="C5" s="294" t="s">
        <v>27</v>
      </c>
      <c r="D5" s="294" t="s">
        <v>643</v>
      </c>
      <c r="E5" s="208"/>
      <c r="F5" s="24">
        <f>$E5/12</f>
        <v>0</v>
      </c>
      <c r="G5" s="249"/>
      <c r="H5" s="101">
        <f t="shared" si="0"/>
        <v>0</v>
      </c>
      <c r="I5" s="79"/>
      <c r="J5" s="226">
        <f>I5*2*normuren!$B$26</f>
        <v>0</v>
      </c>
      <c r="K5" s="227">
        <f>IF(G5&lt;3,normuren!$B$8,IF(AND(G5&lt;6,G5&gt;2),normuren!$B$9,IF(AND(G5&lt;9,G5&gt;5),normuren!$B$10,normuren!$B$11)))</f>
        <v>15</v>
      </c>
      <c r="L5" s="228">
        <f>normuren!$B$27</f>
        <v>20</v>
      </c>
      <c r="M5" s="228">
        <v>26</v>
      </c>
      <c r="N5" s="250">
        <f>normuren!$B$29</f>
        <v>1.5</v>
      </c>
      <c r="O5" s="115" t="s">
        <v>696</v>
      </c>
      <c r="P5" s="286"/>
      <c r="Q5" s="119"/>
      <c r="R5" s="119"/>
      <c r="S5" s="119"/>
      <c r="T5" s="119"/>
      <c r="U5" s="115"/>
      <c r="V5" s="115"/>
      <c r="W5" s="286"/>
      <c r="X5" s="288" t="s">
        <v>696</v>
      </c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286"/>
      <c r="AM5" s="115"/>
      <c r="AN5" s="115"/>
      <c r="AO5" s="286"/>
      <c r="AP5" s="288">
        <v>1</v>
      </c>
      <c r="AQ5" s="286"/>
      <c r="AR5" s="286"/>
      <c r="AS5" s="115"/>
      <c r="AT5" s="115"/>
      <c r="AU5" s="288">
        <v>2</v>
      </c>
      <c r="AV5" s="115"/>
      <c r="AW5" s="288" t="s">
        <v>696</v>
      </c>
      <c r="AX5" s="115"/>
      <c r="AY5" s="115"/>
      <c r="AZ5" s="115"/>
      <c r="BA5" s="115"/>
      <c r="BB5" s="288">
        <v>3</v>
      </c>
      <c r="BC5" s="288">
        <v>3</v>
      </c>
      <c r="BD5" s="288">
        <v>2</v>
      </c>
      <c r="BE5" s="115"/>
      <c r="BF5" s="115"/>
      <c r="BG5" s="115"/>
      <c r="BH5" s="115"/>
      <c r="BI5" s="115"/>
      <c r="BJ5" s="115"/>
      <c r="BK5" s="115"/>
      <c r="BL5" s="223">
        <f t="shared" ref="BL5:BL51" si="1">SUM(O5:BK5)</f>
        <v>11</v>
      </c>
      <c r="BM5" s="224">
        <f t="shared" ref="BM5:BM51" si="2">G5-BL5</f>
        <v>-11</v>
      </c>
      <c r="BN5" s="209" t="str">
        <f t="shared" ref="BN5:BN36" si="3">IF(BM5&gt;0,"Problem","Oke")</f>
        <v>Oke</v>
      </c>
      <c r="BO5" s="209" t="s">
        <v>712</v>
      </c>
      <c r="BP5" s="6"/>
      <c r="BQ5" s="6"/>
      <c r="BR5" s="6"/>
      <c r="BS5" s="6"/>
      <c r="BT5" s="6"/>
      <c r="BU5" s="6"/>
      <c r="BV5" s="6"/>
      <c r="BW5" s="6"/>
      <c r="BX5" s="6"/>
    </row>
    <row r="6" spans="1:76" ht="12.75" customHeight="1" x14ac:dyDescent="0.3">
      <c r="A6" s="203" t="s">
        <v>278</v>
      </c>
      <c r="B6" s="203" t="s">
        <v>279</v>
      </c>
      <c r="C6" s="203" t="s">
        <v>245</v>
      </c>
      <c r="D6" s="203" t="s">
        <v>664</v>
      </c>
      <c r="E6" s="208"/>
      <c r="F6" s="24">
        <f t="shared" ref="F6:F20" si="4">E6/12</f>
        <v>0</v>
      </c>
      <c r="G6" s="249"/>
      <c r="H6" s="101">
        <f t="shared" si="0"/>
        <v>0</v>
      </c>
      <c r="I6" s="79"/>
      <c r="J6" s="226">
        <f>I6*2*normuren!$B$26</f>
        <v>0</v>
      </c>
      <c r="K6" s="227">
        <f>IF(G6&lt;3,normuren!$B$8,IF(AND(G6&lt;6,G6&gt;2),normuren!$B$9,IF(AND(G6&lt;9,G6&gt;5),normuren!$B$10,normuren!$B$11)))</f>
        <v>15</v>
      </c>
      <c r="L6" s="228">
        <f>normuren!$B$24*2*12</f>
        <v>36</v>
      </c>
      <c r="M6" s="228">
        <f>normuren!$B$25*2*12</f>
        <v>45.599999999999994</v>
      </c>
      <c r="N6" s="250">
        <f>normuren!$B$29</f>
        <v>1.5</v>
      </c>
      <c r="O6" s="115" t="s">
        <v>696</v>
      </c>
      <c r="P6" s="286"/>
      <c r="Q6" s="119"/>
      <c r="R6" s="119"/>
      <c r="S6" s="119"/>
      <c r="T6" s="119"/>
      <c r="U6" s="115"/>
      <c r="V6" s="115"/>
      <c r="W6" s="286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286"/>
      <c r="AM6" s="115"/>
      <c r="AN6" s="115"/>
      <c r="AO6" s="286"/>
      <c r="AP6" s="115"/>
      <c r="AQ6" s="286"/>
      <c r="AR6" s="286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288">
        <v>1</v>
      </c>
      <c r="BK6" s="115"/>
      <c r="BL6" s="223">
        <f t="shared" si="1"/>
        <v>1</v>
      </c>
      <c r="BM6" s="224">
        <f t="shared" si="2"/>
        <v>-1</v>
      </c>
      <c r="BN6" s="209" t="str">
        <f t="shared" si="3"/>
        <v>Oke</v>
      </c>
      <c r="BO6" s="6"/>
      <c r="BP6" s="6"/>
      <c r="BQ6" s="6"/>
      <c r="BR6" s="6"/>
      <c r="BS6" s="6"/>
      <c r="BT6" s="6"/>
      <c r="BU6" s="6"/>
      <c r="BV6" s="6"/>
      <c r="BW6" s="6"/>
      <c r="BX6" s="6"/>
    </row>
    <row r="7" spans="1:76" ht="12.75" customHeight="1" x14ac:dyDescent="0.3">
      <c r="A7" s="203" t="s">
        <v>568</v>
      </c>
      <c r="B7" s="203" t="s">
        <v>507</v>
      </c>
      <c r="C7" s="203" t="s">
        <v>245</v>
      </c>
      <c r="D7" s="203" t="s">
        <v>644</v>
      </c>
      <c r="E7" s="208"/>
      <c r="F7" s="24">
        <f t="shared" si="4"/>
        <v>0</v>
      </c>
      <c r="G7" s="249"/>
      <c r="H7" s="101">
        <f t="shared" si="0"/>
        <v>0</v>
      </c>
      <c r="I7" s="79"/>
      <c r="J7" s="226">
        <f>I7*2*normuren!$B$26</f>
        <v>0</v>
      </c>
      <c r="K7" s="227">
        <f>IF(G7&lt;3,normuren!$B$8,IF(AND(G7&lt;6,G7&gt;2),normuren!$B$9,IF(AND(G7&lt;9,G7&gt;5),normuren!$B$10,normuren!$B$11)))</f>
        <v>15</v>
      </c>
      <c r="L7" s="228">
        <f>normuren!$B$24*2*12</f>
        <v>36</v>
      </c>
      <c r="M7" s="228">
        <f>normuren!$B$25*2*12</f>
        <v>45.599999999999994</v>
      </c>
      <c r="N7" s="250">
        <f>normuren!$B$29</f>
        <v>1.5</v>
      </c>
      <c r="O7" s="115"/>
      <c r="P7" s="286"/>
      <c r="Q7" s="119"/>
      <c r="R7" s="119"/>
      <c r="S7" s="119"/>
      <c r="T7" s="119"/>
      <c r="U7" s="115"/>
      <c r="V7" s="115"/>
      <c r="W7" s="286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286"/>
      <c r="AM7" s="115"/>
      <c r="AN7" s="115"/>
      <c r="AO7" s="286"/>
      <c r="AP7" s="115"/>
      <c r="AQ7" s="286"/>
      <c r="AR7" s="286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223">
        <f t="shared" si="1"/>
        <v>0</v>
      </c>
      <c r="BM7" s="224">
        <f t="shared" si="2"/>
        <v>0</v>
      </c>
      <c r="BN7" s="209" t="str">
        <f t="shared" si="3"/>
        <v>Oke</v>
      </c>
      <c r="BO7" s="6"/>
      <c r="BP7" s="6"/>
      <c r="BQ7" s="6"/>
      <c r="BR7" s="6"/>
      <c r="BS7" s="6"/>
      <c r="BT7" s="6"/>
      <c r="BU7" s="6"/>
      <c r="BV7" s="6"/>
      <c r="BW7" s="6"/>
      <c r="BX7" s="6"/>
    </row>
    <row r="8" spans="1:76" ht="12.75" customHeight="1" x14ac:dyDescent="0.3">
      <c r="A8" s="203" t="s">
        <v>508</v>
      </c>
      <c r="B8" s="203" t="s">
        <v>645</v>
      </c>
      <c r="C8" s="203" t="s">
        <v>245</v>
      </c>
      <c r="D8" s="203" t="s">
        <v>335</v>
      </c>
      <c r="E8" s="208"/>
      <c r="F8" s="24">
        <f t="shared" si="4"/>
        <v>0</v>
      </c>
      <c r="G8" s="249"/>
      <c r="H8" s="101">
        <f t="shared" si="0"/>
        <v>0</v>
      </c>
      <c r="I8" s="79"/>
      <c r="J8" s="226">
        <f>I8*2*normuren!$B$26</f>
        <v>0</v>
      </c>
      <c r="K8" s="227">
        <f>IF(G8&lt;3,normuren!$B$8,IF(AND(G8&lt;6,G8&gt;2),normuren!$B$9,IF(AND(G8&lt;9,G8&gt;5),normuren!$B$10,normuren!$B$11)))</f>
        <v>15</v>
      </c>
      <c r="L8" s="228">
        <f>normuren!$B$24*2*12</f>
        <v>36</v>
      </c>
      <c r="M8" s="228">
        <f>normuren!$B$25*2*12</f>
        <v>45.599999999999994</v>
      </c>
      <c r="N8" s="250">
        <f>normuren!$B$29</f>
        <v>1.5</v>
      </c>
      <c r="O8" s="115"/>
      <c r="P8" s="286"/>
      <c r="Q8" s="119"/>
      <c r="R8" s="119"/>
      <c r="S8" s="119"/>
      <c r="T8" s="119"/>
      <c r="U8" s="115"/>
      <c r="V8" s="115"/>
      <c r="W8" s="286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286"/>
      <c r="AM8" s="115"/>
      <c r="AN8" s="115"/>
      <c r="AO8" s="286"/>
      <c r="AP8" s="115"/>
      <c r="AQ8" s="286"/>
      <c r="AR8" s="286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223">
        <f t="shared" si="1"/>
        <v>0</v>
      </c>
      <c r="BM8" s="224">
        <f t="shared" si="2"/>
        <v>0</v>
      </c>
      <c r="BN8" s="209" t="str">
        <f t="shared" si="3"/>
        <v>Oke</v>
      </c>
      <c r="BO8" s="6"/>
      <c r="BP8" s="6"/>
      <c r="BQ8" s="6"/>
      <c r="BR8" s="6"/>
      <c r="BS8" s="6"/>
      <c r="BT8" s="6"/>
      <c r="BU8" s="6"/>
      <c r="BV8" s="6"/>
      <c r="BW8" s="6"/>
      <c r="BX8" s="6"/>
    </row>
    <row r="9" spans="1:76" ht="12.75" customHeight="1" x14ac:dyDescent="0.3">
      <c r="A9" s="203" t="s">
        <v>569</v>
      </c>
      <c r="B9" s="203" t="s">
        <v>509</v>
      </c>
      <c r="C9" s="203" t="s">
        <v>245</v>
      </c>
      <c r="D9" s="203" t="s">
        <v>646</v>
      </c>
      <c r="E9" s="208"/>
      <c r="F9" s="24">
        <f t="shared" si="4"/>
        <v>0</v>
      </c>
      <c r="G9" s="249"/>
      <c r="H9" s="101">
        <f t="shared" si="0"/>
        <v>0</v>
      </c>
      <c r="I9" s="79"/>
      <c r="J9" s="226">
        <f>I9*2*normuren!$B$26</f>
        <v>0</v>
      </c>
      <c r="K9" s="227">
        <f>IF(G9&lt;3,normuren!$B$8,IF(AND(G9&lt;6,G9&gt;2),normuren!$B$9,IF(AND(G9&lt;9,G9&gt;5),normuren!$B$10,normuren!$B$11)))</f>
        <v>15</v>
      </c>
      <c r="L9" s="228">
        <f>normuren!$B$24*2*12</f>
        <v>36</v>
      </c>
      <c r="M9" s="228">
        <f>normuren!$B$25*2*12</f>
        <v>45.599999999999994</v>
      </c>
      <c r="N9" s="250">
        <f>normuren!$B$29</f>
        <v>1.5</v>
      </c>
      <c r="O9" s="115"/>
      <c r="P9" s="286"/>
      <c r="Q9" s="119"/>
      <c r="R9" s="119"/>
      <c r="S9" s="119"/>
      <c r="T9" s="119"/>
      <c r="U9" s="115"/>
      <c r="V9" s="115"/>
      <c r="W9" s="287"/>
      <c r="X9" s="173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286"/>
      <c r="AM9" s="115"/>
      <c r="AN9" s="115"/>
      <c r="AO9" s="286"/>
      <c r="AP9" s="115"/>
      <c r="AQ9" s="286"/>
      <c r="AR9" s="287"/>
      <c r="AS9" s="115"/>
      <c r="AT9" s="115"/>
      <c r="AU9" s="173"/>
      <c r="AV9" s="173"/>
      <c r="AW9" s="173"/>
      <c r="AX9" s="173"/>
      <c r="AY9" s="173"/>
      <c r="AZ9" s="173"/>
      <c r="BA9" s="173"/>
      <c r="BB9" s="115"/>
      <c r="BC9" s="173"/>
      <c r="BD9" s="173"/>
      <c r="BE9" s="173"/>
      <c r="BF9" s="173"/>
      <c r="BG9" s="173"/>
      <c r="BH9" s="115"/>
      <c r="BI9" s="115"/>
      <c r="BJ9" s="173"/>
      <c r="BK9" s="115"/>
      <c r="BL9" s="223">
        <f t="shared" si="1"/>
        <v>0</v>
      </c>
      <c r="BM9" s="224">
        <f t="shared" si="2"/>
        <v>0</v>
      </c>
      <c r="BN9" s="209" t="str">
        <f t="shared" si="3"/>
        <v>Oke</v>
      </c>
      <c r="BO9" s="6"/>
      <c r="BP9" s="6"/>
      <c r="BQ9" s="6"/>
      <c r="BR9" s="6"/>
      <c r="BS9" s="6"/>
      <c r="BT9" s="6"/>
      <c r="BU9" s="6"/>
      <c r="BV9" s="6"/>
      <c r="BW9" s="6"/>
      <c r="BX9" s="6"/>
    </row>
    <row r="10" spans="1:76" ht="12.75" customHeight="1" x14ac:dyDescent="0.3">
      <c r="A10" s="203" t="s">
        <v>570</v>
      </c>
      <c r="B10" s="203" t="s">
        <v>510</v>
      </c>
      <c r="C10" s="203" t="s">
        <v>245</v>
      </c>
      <c r="D10" s="203" t="s">
        <v>182</v>
      </c>
      <c r="E10" s="208"/>
      <c r="F10" s="24">
        <f t="shared" si="4"/>
        <v>0</v>
      </c>
      <c r="G10" s="249"/>
      <c r="H10" s="101">
        <f t="shared" si="0"/>
        <v>0</v>
      </c>
      <c r="I10" s="79"/>
      <c r="J10" s="226">
        <f>I10*2*normuren!$B$26</f>
        <v>0</v>
      </c>
      <c r="K10" s="227">
        <f>IF(G10&lt;3,normuren!$B$8,IF(AND(G10&lt;6,G10&gt;2),normuren!$B$9,IF(AND(G10&lt;9,G10&gt;5),normuren!$B$10,normuren!$B$11)))</f>
        <v>15</v>
      </c>
      <c r="L10" s="228">
        <f>normuren!$B$24*2*12</f>
        <v>36</v>
      </c>
      <c r="M10" s="228">
        <f>normuren!$B$25*2*12</f>
        <v>45.599999999999994</v>
      </c>
      <c r="N10" s="250">
        <f>normuren!$B$29</f>
        <v>1.5</v>
      </c>
      <c r="O10" s="115"/>
      <c r="P10" s="286"/>
      <c r="Q10" s="119"/>
      <c r="R10" s="119"/>
      <c r="S10" s="119"/>
      <c r="T10" s="119"/>
      <c r="U10" s="115"/>
      <c r="V10" s="115"/>
      <c r="W10" s="286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286"/>
      <c r="AM10" s="115"/>
      <c r="AN10" s="115"/>
      <c r="AO10" s="286"/>
      <c r="AP10" s="115"/>
      <c r="AQ10" s="286"/>
      <c r="AR10" s="286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223">
        <f t="shared" si="1"/>
        <v>0</v>
      </c>
      <c r="BM10" s="224">
        <f t="shared" si="2"/>
        <v>0</v>
      </c>
      <c r="BN10" s="209" t="str">
        <f t="shared" si="3"/>
        <v>Oke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</row>
    <row r="11" spans="1:76" ht="12.75" customHeight="1" x14ac:dyDescent="0.3">
      <c r="A11" s="203" t="s">
        <v>571</v>
      </c>
      <c r="B11" s="206" t="s">
        <v>669</v>
      </c>
      <c r="C11" s="203" t="s">
        <v>245</v>
      </c>
      <c r="D11" s="203" t="s">
        <v>647</v>
      </c>
      <c r="E11" s="208"/>
      <c r="F11" s="24">
        <f t="shared" si="4"/>
        <v>0</v>
      </c>
      <c r="G11" s="249"/>
      <c r="H11" s="101">
        <f t="shared" si="0"/>
        <v>0</v>
      </c>
      <c r="I11" s="79"/>
      <c r="J11" s="226">
        <f>I11*2*normuren!$B$26</f>
        <v>0</v>
      </c>
      <c r="K11" s="227">
        <f>IF(G11&lt;3,normuren!$B$8,IF(AND(G11&lt;6,G11&gt;2),normuren!$B$9,IF(AND(G11&lt;9,G11&gt;5),normuren!$B$10,normuren!$B$11)))</f>
        <v>15</v>
      </c>
      <c r="L11" s="228">
        <f>normuren!$B$24*2*12</f>
        <v>36</v>
      </c>
      <c r="M11" s="228">
        <f>normuren!$B$25*2*12</f>
        <v>45.599999999999994</v>
      </c>
      <c r="N11" s="250">
        <f>normuren!$B$29</f>
        <v>1.5</v>
      </c>
      <c r="O11" s="115"/>
      <c r="P11" s="286"/>
      <c r="Q11" s="119"/>
      <c r="R11" s="119"/>
      <c r="S11" s="119"/>
      <c r="T11" s="119"/>
      <c r="U11" s="115"/>
      <c r="V11" s="115"/>
      <c r="W11" s="286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286"/>
      <c r="AM11" s="115"/>
      <c r="AN11" s="115"/>
      <c r="AO11" s="286"/>
      <c r="AP11" s="115"/>
      <c r="AQ11" s="286"/>
      <c r="AR11" s="286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223">
        <f t="shared" si="1"/>
        <v>0</v>
      </c>
      <c r="BM11" s="224">
        <f t="shared" si="2"/>
        <v>0</v>
      </c>
      <c r="BN11" s="209" t="str">
        <f t="shared" si="3"/>
        <v>Oke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</row>
    <row r="12" spans="1:76" ht="12.75" customHeight="1" x14ac:dyDescent="0.3">
      <c r="A12" s="294" t="s">
        <v>572</v>
      </c>
      <c r="B12" s="294" t="s">
        <v>511</v>
      </c>
      <c r="C12" s="294" t="s">
        <v>27</v>
      </c>
      <c r="D12" s="299" t="s">
        <v>553</v>
      </c>
      <c r="E12" s="208"/>
      <c r="F12" s="24">
        <f t="shared" si="4"/>
        <v>0</v>
      </c>
      <c r="G12" s="249"/>
      <c r="H12" s="101">
        <f t="shared" si="0"/>
        <v>0</v>
      </c>
      <c r="I12" s="79"/>
      <c r="J12" s="226">
        <f>I12*2*normuren!$B$26</f>
        <v>0</v>
      </c>
      <c r="K12" s="227">
        <f>IF(G12&lt;3,normuren!$B$8,IF(AND(G12&lt;6,G12&gt;2),normuren!$B$9,IF(AND(G12&lt;9,G12&gt;5),normuren!$B$10,normuren!$B$11)))</f>
        <v>15</v>
      </c>
      <c r="L12" s="228">
        <f>normuren!$B$24*2*12</f>
        <v>36</v>
      </c>
      <c r="M12" s="228">
        <f>normuren!$B$25*2*12</f>
        <v>45.599999999999994</v>
      </c>
      <c r="N12" s="250">
        <f>normuren!$B$29</f>
        <v>1.5</v>
      </c>
      <c r="O12" s="115"/>
      <c r="P12" s="286"/>
      <c r="Q12" s="119"/>
      <c r="R12" s="119"/>
      <c r="S12" s="119"/>
      <c r="T12" s="119"/>
      <c r="U12" s="115"/>
      <c r="V12" s="115"/>
      <c r="W12" s="286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286"/>
      <c r="AM12" s="115"/>
      <c r="AN12" s="115"/>
      <c r="AO12" s="286"/>
      <c r="AP12" s="115"/>
      <c r="AQ12" s="286"/>
      <c r="AR12" s="286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223">
        <f t="shared" si="1"/>
        <v>0</v>
      </c>
      <c r="BM12" s="224">
        <f t="shared" si="2"/>
        <v>0</v>
      </c>
      <c r="BN12" s="209" t="str">
        <f t="shared" si="3"/>
        <v>Oke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</row>
    <row r="13" spans="1:76" ht="12.75" customHeight="1" x14ac:dyDescent="0.3">
      <c r="A13" s="203" t="s">
        <v>573</v>
      </c>
      <c r="B13" s="203" t="s">
        <v>512</v>
      </c>
      <c r="C13" s="203" t="s">
        <v>245</v>
      </c>
      <c r="D13" s="203" t="s">
        <v>185</v>
      </c>
      <c r="E13" s="208"/>
      <c r="F13" s="24">
        <f t="shared" si="4"/>
        <v>0</v>
      </c>
      <c r="G13" s="249"/>
      <c r="H13" s="101">
        <f t="shared" si="0"/>
        <v>0</v>
      </c>
      <c r="I13" s="79"/>
      <c r="J13" s="226">
        <f>I13*2*normuren!$B$26</f>
        <v>0</v>
      </c>
      <c r="K13" s="227">
        <f>IF(G13&lt;3,normuren!$B$8,IF(AND(G13&lt;6,G13&gt;2),normuren!$B$9,IF(AND(G13&lt;9,G13&gt;5),normuren!$B$10,normuren!$B$11)))</f>
        <v>15</v>
      </c>
      <c r="L13" s="228">
        <f>normuren!$B$24*2*12</f>
        <v>36</v>
      </c>
      <c r="M13" s="228">
        <f>normuren!$B$25*2*12</f>
        <v>45.599999999999994</v>
      </c>
      <c r="N13" s="250">
        <f>normuren!$B$29</f>
        <v>1.5</v>
      </c>
      <c r="O13" s="115"/>
      <c r="P13" s="286"/>
      <c r="Q13" s="119"/>
      <c r="R13" s="119"/>
      <c r="S13" s="119"/>
      <c r="T13" s="119"/>
      <c r="U13" s="115"/>
      <c r="V13" s="115"/>
      <c r="W13" s="286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286"/>
      <c r="AM13" s="115"/>
      <c r="AN13" s="115"/>
      <c r="AO13" s="286"/>
      <c r="AP13" s="115"/>
      <c r="AQ13" s="286"/>
      <c r="AR13" s="286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223">
        <f t="shared" si="1"/>
        <v>0</v>
      </c>
      <c r="BM13" s="224">
        <f t="shared" si="2"/>
        <v>0</v>
      </c>
      <c r="BN13" s="209" t="str">
        <f t="shared" si="3"/>
        <v>Oke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</row>
    <row r="14" spans="1:76" ht="12.75" customHeight="1" x14ac:dyDescent="0.3">
      <c r="A14" s="294" t="s">
        <v>574</v>
      </c>
      <c r="B14" s="294" t="s">
        <v>513</v>
      </c>
      <c r="C14" s="294" t="s">
        <v>27</v>
      </c>
      <c r="D14" s="294" t="s">
        <v>467</v>
      </c>
      <c r="E14" s="208"/>
      <c r="F14" s="24">
        <f t="shared" si="4"/>
        <v>0</v>
      </c>
      <c r="G14" s="249"/>
      <c r="H14" s="101">
        <f t="shared" si="0"/>
        <v>0</v>
      </c>
      <c r="I14" s="79"/>
      <c r="J14" s="226">
        <f>I14*2*normuren!$B$26</f>
        <v>0</v>
      </c>
      <c r="K14" s="227">
        <f>IF(G14&lt;3,normuren!$B$8,IF(AND(G14&lt;6,G14&gt;2),normuren!$B$9,IF(AND(G14&lt;9,G14&gt;5),normuren!$B$10,normuren!$B$11)))</f>
        <v>15</v>
      </c>
      <c r="L14" s="228">
        <f>normuren!$B$24*2*12</f>
        <v>36</v>
      </c>
      <c r="M14" s="228">
        <f>normuren!$B$25*2*12</f>
        <v>45.599999999999994</v>
      </c>
      <c r="N14" s="250">
        <f>normuren!$B$29</f>
        <v>1.5</v>
      </c>
      <c r="O14" s="115"/>
      <c r="P14" s="286"/>
      <c r="Q14" s="119"/>
      <c r="R14" s="119"/>
      <c r="S14" s="267">
        <v>2</v>
      </c>
      <c r="T14" s="119"/>
      <c r="U14" s="115"/>
      <c r="V14" s="115"/>
      <c r="W14" s="286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286"/>
      <c r="AM14" s="115"/>
      <c r="AN14" s="115"/>
      <c r="AO14" s="286"/>
      <c r="AP14" s="115"/>
      <c r="AQ14" s="286"/>
      <c r="AR14" s="286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223">
        <f t="shared" si="1"/>
        <v>2</v>
      </c>
      <c r="BM14" s="224">
        <f t="shared" si="2"/>
        <v>-2</v>
      </c>
      <c r="BN14" s="209" t="str">
        <f t="shared" si="3"/>
        <v>Oke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</row>
    <row r="15" spans="1:76" ht="12.75" customHeight="1" x14ac:dyDescent="0.3">
      <c r="A15" s="203" t="s">
        <v>575</v>
      </c>
      <c r="B15" s="203" t="s">
        <v>514</v>
      </c>
      <c r="C15" s="203" t="s">
        <v>246</v>
      </c>
      <c r="D15" s="203" t="s">
        <v>202</v>
      </c>
      <c r="E15" s="208"/>
      <c r="F15" s="24">
        <f t="shared" si="4"/>
        <v>0</v>
      </c>
      <c r="G15" s="249"/>
      <c r="H15" s="101">
        <f t="shared" si="0"/>
        <v>0</v>
      </c>
      <c r="I15" s="79"/>
      <c r="J15" s="226">
        <f>I15*2*normuren!$B$26</f>
        <v>0</v>
      </c>
      <c r="K15" s="227">
        <f>IF(G15&lt;3,normuren!$B$8,IF(AND(G15&lt;6,G15&gt;2),normuren!$B$9,IF(AND(G15&lt;9,G15&gt;5),normuren!$B$10,normuren!$B$11)))</f>
        <v>15</v>
      </c>
      <c r="L15" s="228">
        <f>normuren!$B$24*2*12</f>
        <v>36</v>
      </c>
      <c r="M15" s="228">
        <f>normuren!$B$25*2*12</f>
        <v>45.599999999999994</v>
      </c>
      <c r="N15" s="250">
        <f>normuren!$B$29</f>
        <v>1.5</v>
      </c>
      <c r="O15" s="115"/>
      <c r="P15" s="286"/>
      <c r="Q15" s="119"/>
      <c r="R15" s="119"/>
      <c r="S15" s="119"/>
      <c r="T15" s="119"/>
      <c r="U15" s="115"/>
      <c r="V15" s="115"/>
      <c r="W15" s="286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286"/>
      <c r="AM15" s="115"/>
      <c r="AN15" s="115"/>
      <c r="AO15" s="286"/>
      <c r="AP15" s="115"/>
      <c r="AQ15" s="286"/>
      <c r="AR15" s="286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223">
        <f t="shared" si="1"/>
        <v>0</v>
      </c>
      <c r="BM15" s="224">
        <f t="shared" si="2"/>
        <v>0</v>
      </c>
      <c r="BN15" s="209" t="str">
        <f t="shared" si="3"/>
        <v>Oke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</row>
    <row r="16" spans="1:76" ht="12.75" customHeight="1" x14ac:dyDescent="0.3">
      <c r="A16" s="203" t="s">
        <v>576</v>
      </c>
      <c r="B16" s="203" t="s">
        <v>515</v>
      </c>
      <c r="C16" s="203" t="s">
        <v>247</v>
      </c>
      <c r="D16" s="203" t="s">
        <v>554</v>
      </c>
      <c r="E16" s="208"/>
      <c r="F16" s="24">
        <f t="shared" si="4"/>
        <v>0</v>
      </c>
      <c r="G16" s="249"/>
      <c r="H16" s="101">
        <f t="shared" si="0"/>
        <v>0</v>
      </c>
      <c r="I16" s="79"/>
      <c r="J16" s="226">
        <f>I16*2*normuren!$B$26</f>
        <v>0</v>
      </c>
      <c r="K16" s="227">
        <f>IF(G16&lt;3,normuren!$B$8,IF(AND(G16&lt;6,G16&gt;2),normuren!$B$9,IF(AND(G16&lt;9,G16&gt;5),normuren!$B$10,normuren!$B$11)))</f>
        <v>15</v>
      </c>
      <c r="L16" s="228">
        <f>normuren!$B$27</f>
        <v>20</v>
      </c>
      <c r="M16" s="228">
        <v>20</v>
      </c>
      <c r="N16" s="250">
        <f>normuren!$B$29</f>
        <v>1.5</v>
      </c>
      <c r="O16" s="115"/>
      <c r="P16" s="286"/>
      <c r="Q16" s="119"/>
      <c r="R16" s="119"/>
      <c r="S16" s="119"/>
      <c r="T16" s="119"/>
      <c r="U16" s="115"/>
      <c r="V16" s="115"/>
      <c r="W16" s="286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286"/>
      <c r="AM16" s="115"/>
      <c r="AN16" s="115"/>
      <c r="AO16" s="286"/>
      <c r="AP16" s="115"/>
      <c r="AQ16" s="286"/>
      <c r="AR16" s="286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223">
        <f t="shared" si="1"/>
        <v>0</v>
      </c>
      <c r="BM16" s="224">
        <f t="shared" si="2"/>
        <v>0</v>
      </c>
      <c r="BN16" s="209" t="str">
        <f t="shared" si="3"/>
        <v>Oke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</row>
    <row r="17" spans="1:76" ht="12.75" customHeight="1" x14ac:dyDescent="0.3">
      <c r="A17" s="203" t="s">
        <v>517</v>
      </c>
      <c r="B17" s="203" t="s">
        <v>518</v>
      </c>
      <c r="C17" s="203" t="s">
        <v>247</v>
      </c>
      <c r="D17" s="203" t="s">
        <v>555</v>
      </c>
      <c r="E17" s="208"/>
      <c r="F17" s="24">
        <f t="shared" si="4"/>
        <v>0</v>
      </c>
      <c r="G17" s="249"/>
      <c r="H17" s="101">
        <f t="shared" si="0"/>
        <v>0</v>
      </c>
      <c r="I17" s="79"/>
      <c r="J17" s="226">
        <f>I17*2*normuren!$B$26</f>
        <v>0</v>
      </c>
      <c r="K17" s="227">
        <f>IF(G17&lt;3,normuren!$B$8,IF(AND(G17&lt;6,G17&gt;2),normuren!$B$9,IF(AND(G17&lt;9,G17&gt;5),normuren!$B$10,normuren!$B$11)))</f>
        <v>15</v>
      </c>
      <c r="L17" s="228">
        <f>normuren!$B$27</f>
        <v>20</v>
      </c>
      <c r="M17" s="228">
        <v>20</v>
      </c>
      <c r="N17" s="250">
        <f>normuren!$B$29</f>
        <v>1.5</v>
      </c>
      <c r="O17" s="115"/>
      <c r="P17" s="286"/>
      <c r="Q17" s="119"/>
      <c r="R17" s="119"/>
      <c r="S17" s="119"/>
      <c r="T17" s="119"/>
      <c r="U17" s="115"/>
      <c r="V17" s="115"/>
      <c r="W17" s="286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286"/>
      <c r="AM17" s="115"/>
      <c r="AN17" s="115"/>
      <c r="AO17" s="286"/>
      <c r="AP17" s="115"/>
      <c r="AQ17" s="286"/>
      <c r="AR17" s="286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223">
        <f t="shared" si="1"/>
        <v>0</v>
      </c>
      <c r="BM17" s="224">
        <f t="shared" si="2"/>
        <v>0</v>
      </c>
      <c r="BN17" s="209" t="str">
        <f t="shared" si="3"/>
        <v>Oke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</row>
    <row r="18" spans="1:76" ht="12.75" customHeight="1" x14ac:dyDescent="0.3">
      <c r="A18" s="203" t="s">
        <v>578</v>
      </c>
      <c r="B18" s="203" t="s">
        <v>519</v>
      </c>
      <c r="C18" s="203" t="s">
        <v>248</v>
      </c>
      <c r="D18" s="205" t="s">
        <v>556</v>
      </c>
      <c r="E18" s="208"/>
      <c r="F18" s="24">
        <f t="shared" si="4"/>
        <v>0</v>
      </c>
      <c r="G18" s="249"/>
      <c r="H18" s="101">
        <f t="shared" si="0"/>
        <v>0</v>
      </c>
      <c r="I18" s="79"/>
      <c r="J18" s="226">
        <f>I18*2*normuren!$B$26</f>
        <v>0</v>
      </c>
      <c r="K18" s="227">
        <f>IF(G18&lt;3,normuren!$B$8,IF(AND(G18&lt;6,G18&gt;2),normuren!$B$9,IF(AND(G18&lt;9,G18&gt;5),normuren!$B$10,normuren!$B$11)))</f>
        <v>15</v>
      </c>
      <c r="L18" s="228">
        <f>normuren!$B$27</f>
        <v>20</v>
      </c>
      <c r="M18" s="228">
        <v>20</v>
      </c>
      <c r="N18" s="250">
        <f>normuren!$B$29</f>
        <v>1.5</v>
      </c>
      <c r="O18" s="115"/>
      <c r="P18" s="286"/>
      <c r="Q18" s="119"/>
      <c r="R18" s="119"/>
      <c r="S18" s="119"/>
      <c r="T18" s="119"/>
      <c r="U18" s="115"/>
      <c r="V18" s="115"/>
      <c r="W18" s="286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286"/>
      <c r="AM18" s="115"/>
      <c r="AN18" s="115"/>
      <c r="AO18" s="286"/>
      <c r="AP18" s="115"/>
      <c r="AQ18" s="286"/>
      <c r="AR18" s="286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223">
        <f t="shared" si="1"/>
        <v>0</v>
      </c>
      <c r="BM18" s="224">
        <f t="shared" si="2"/>
        <v>0</v>
      </c>
      <c r="BN18" s="209" t="str">
        <f t="shared" si="3"/>
        <v>Oke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</row>
    <row r="19" spans="1:76" ht="12.75" customHeight="1" x14ac:dyDescent="0.3">
      <c r="A19" s="203" t="s">
        <v>579</v>
      </c>
      <c r="B19" s="203" t="s">
        <v>520</v>
      </c>
      <c r="C19" s="203" t="s">
        <v>246</v>
      </c>
      <c r="D19" s="203" t="s">
        <v>648</v>
      </c>
      <c r="E19" s="208"/>
      <c r="F19" s="24">
        <f t="shared" si="4"/>
        <v>0</v>
      </c>
      <c r="G19" s="249"/>
      <c r="H19" s="101">
        <f t="shared" si="0"/>
        <v>0</v>
      </c>
      <c r="I19" s="79"/>
      <c r="J19" s="226">
        <f>I19*2*normuren!$B$26</f>
        <v>0</v>
      </c>
      <c r="K19" s="227">
        <f>IF(G19&lt;3,normuren!$B$8,IF(AND(G19&lt;6,G19&gt;2),normuren!$B$9,IF(AND(G19&lt;9,G19&gt;5),normuren!$B$10,normuren!$B$11)))</f>
        <v>15</v>
      </c>
      <c r="L19" s="228">
        <f>normuren!$B$27</f>
        <v>20</v>
      </c>
      <c r="M19" s="228">
        <v>20</v>
      </c>
      <c r="N19" s="250">
        <f>normuren!$B$29</f>
        <v>1.5</v>
      </c>
      <c r="O19" s="115"/>
      <c r="P19" s="286"/>
      <c r="Q19" s="119"/>
      <c r="R19" s="119"/>
      <c r="S19" s="119"/>
      <c r="T19" s="119"/>
      <c r="U19" s="115"/>
      <c r="V19" s="115"/>
      <c r="W19" s="286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286"/>
      <c r="AM19" s="115"/>
      <c r="AN19" s="284" t="s">
        <v>696</v>
      </c>
      <c r="AO19" s="286"/>
      <c r="AP19" s="115"/>
      <c r="AQ19" s="286"/>
      <c r="AR19" s="286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223">
        <f t="shared" si="1"/>
        <v>0</v>
      </c>
      <c r="BM19" s="224">
        <f t="shared" si="2"/>
        <v>0</v>
      </c>
      <c r="BN19" s="209" t="str">
        <f t="shared" si="3"/>
        <v>Oke</v>
      </c>
      <c r="BO19" s="6"/>
      <c r="BP19" s="6"/>
      <c r="BQ19" s="6"/>
      <c r="BR19" s="6"/>
      <c r="BS19" s="6"/>
      <c r="BT19" s="6"/>
      <c r="BU19" s="6"/>
      <c r="BV19" s="6"/>
      <c r="BW19" s="6"/>
      <c r="BX19" s="6"/>
    </row>
    <row r="20" spans="1:76" ht="12.75" customHeight="1" x14ac:dyDescent="0.3">
      <c r="A20" s="203" t="s">
        <v>580</v>
      </c>
      <c r="B20" s="203" t="s">
        <v>521</v>
      </c>
      <c r="C20" s="203" t="s">
        <v>250</v>
      </c>
      <c r="D20" s="203" t="s">
        <v>557</v>
      </c>
      <c r="E20" s="208"/>
      <c r="F20" s="24">
        <f t="shared" si="4"/>
        <v>0</v>
      </c>
      <c r="G20" s="249"/>
      <c r="H20" s="101">
        <f t="shared" si="0"/>
        <v>0</v>
      </c>
      <c r="I20" s="79"/>
      <c r="J20" s="226">
        <f>I20*2*normuren!$B$26</f>
        <v>0</v>
      </c>
      <c r="K20" s="227">
        <f>IF(G20&lt;3,normuren!$B$8,IF(AND(G20&lt;6,G20&gt;2),normuren!$B$9,IF(AND(G20&lt;9,G20&gt;5),normuren!$B$10,normuren!$B$11)))</f>
        <v>15</v>
      </c>
      <c r="L20" s="228">
        <f>normuren!$B$27</f>
        <v>20</v>
      </c>
      <c r="M20" s="228">
        <v>20</v>
      </c>
      <c r="N20" s="250">
        <f>normuren!$B$29</f>
        <v>1.5</v>
      </c>
      <c r="O20" s="115"/>
      <c r="P20" s="286"/>
      <c r="Q20" s="119"/>
      <c r="R20" s="119"/>
      <c r="S20" s="119"/>
      <c r="T20" s="119"/>
      <c r="U20" s="115"/>
      <c r="V20" s="115"/>
      <c r="W20" s="286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286"/>
      <c r="AM20" s="115"/>
      <c r="AN20" s="115"/>
      <c r="AO20" s="286"/>
      <c r="AP20" s="115"/>
      <c r="AQ20" s="286"/>
      <c r="AR20" s="286"/>
      <c r="AS20" s="115"/>
      <c r="AT20" s="115"/>
      <c r="AU20" s="115"/>
      <c r="AV20" s="115"/>
      <c r="AW20" s="115"/>
      <c r="AX20" s="115"/>
      <c r="AY20" s="115"/>
      <c r="AZ20" s="115"/>
      <c r="BA20" s="115"/>
      <c r="BB20" s="173"/>
      <c r="BC20" s="115"/>
      <c r="BD20" s="115"/>
      <c r="BE20" s="115"/>
      <c r="BF20" s="115"/>
      <c r="BG20" s="115"/>
      <c r="BH20" s="173"/>
      <c r="BI20" s="173"/>
      <c r="BJ20" s="115"/>
      <c r="BK20" s="173"/>
      <c r="BL20" s="223">
        <f t="shared" si="1"/>
        <v>0</v>
      </c>
      <c r="BM20" s="224">
        <f t="shared" si="2"/>
        <v>0</v>
      </c>
      <c r="BN20" s="209" t="str">
        <f t="shared" si="3"/>
        <v>Oke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</row>
    <row r="21" spans="1:76" ht="12.75" customHeight="1" x14ac:dyDescent="0.3">
      <c r="A21" s="203" t="s">
        <v>649</v>
      </c>
      <c r="B21" s="203" t="s">
        <v>650</v>
      </c>
      <c r="C21" s="203" t="s">
        <v>246</v>
      </c>
      <c r="D21" s="203" t="s">
        <v>651</v>
      </c>
      <c r="E21" s="208"/>
      <c r="F21" s="24">
        <f>$E21/12</f>
        <v>0</v>
      </c>
      <c r="G21" s="249"/>
      <c r="H21" s="101">
        <f t="shared" si="0"/>
        <v>0</v>
      </c>
      <c r="I21" s="79"/>
      <c r="J21" s="226">
        <f>I21*2*normuren!$B$26</f>
        <v>0</v>
      </c>
      <c r="K21" s="227">
        <f>IF(G21&lt;3,normuren!$B$8,IF(AND(G21&lt;6,G21&gt;2),normuren!$B$9,IF(AND(G21&lt;9,G21&gt;5),normuren!$B$10,normuren!$B$11)))</f>
        <v>15</v>
      </c>
      <c r="L21" s="228">
        <f>normuren!$B$27</f>
        <v>20</v>
      </c>
      <c r="M21" s="228">
        <v>20</v>
      </c>
      <c r="N21" s="250">
        <f>normuren!$B$29</f>
        <v>1.5</v>
      </c>
      <c r="O21" s="115"/>
      <c r="P21" s="286"/>
      <c r="Q21" s="119"/>
      <c r="R21" s="119"/>
      <c r="S21" s="119"/>
      <c r="T21" s="119"/>
      <c r="U21" s="115"/>
      <c r="V21" s="173"/>
      <c r="W21" s="286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286"/>
      <c r="AM21" s="115"/>
      <c r="AN21" s="115"/>
      <c r="AO21" s="286"/>
      <c r="AP21" s="115"/>
      <c r="AQ21" s="286"/>
      <c r="AR21" s="286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223">
        <f t="shared" si="1"/>
        <v>0</v>
      </c>
      <c r="BM21" s="224">
        <f t="shared" si="2"/>
        <v>0</v>
      </c>
      <c r="BN21" s="209" t="str">
        <f t="shared" si="3"/>
        <v>Oke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</row>
    <row r="22" spans="1:76" ht="12.75" customHeight="1" x14ac:dyDescent="0.3">
      <c r="A22" s="203" t="s">
        <v>365</v>
      </c>
      <c r="B22" s="203" t="s">
        <v>305</v>
      </c>
      <c r="C22" s="203" t="s">
        <v>27</v>
      </c>
      <c r="D22" s="203" t="s">
        <v>701</v>
      </c>
      <c r="E22" s="208"/>
      <c r="F22" s="24">
        <f>$E22/12</f>
        <v>0</v>
      </c>
      <c r="G22" s="249"/>
      <c r="H22" s="101">
        <f t="shared" si="0"/>
        <v>0</v>
      </c>
      <c r="I22" s="79"/>
      <c r="J22" s="226">
        <f>I22*2*normuren!$B$26</f>
        <v>0</v>
      </c>
      <c r="K22" s="227">
        <f>IF(G22&lt;3,normuren!$B$8,IF(AND(G22&lt;6,G22&gt;2),normuren!$B$9,IF(AND(G22&lt;9,G22&gt;5),normuren!$B$10,normuren!$B$11)))</f>
        <v>15</v>
      </c>
      <c r="L22" s="228">
        <f>normuren!$B$27</f>
        <v>20</v>
      </c>
      <c r="M22" s="228">
        <v>20</v>
      </c>
      <c r="N22" s="250">
        <f>normuren!$B$29</f>
        <v>1.5</v>
      </c>
      <c r="O22" s="115"/>
      <c r="P22" s="286"/>
      <c r="Q22" s="119"/>
      <c r="R22" s="119"/>
      <c r="S22" s="119"/>
      <c r="T22" s="119"/>
      <c r="U22" s="115"/>
      <c r="V22" s="115"/>
      <c r="W22" s="286"/>
      <c r="X22" s="115"/>
      <c r="Y22" s="115"/>
      <c r="Z22" s="115"/>
      <c r="AA22" s="115"/>
      <c r="AB22" s="115"/>
      <c r="AC22" s="115"/>
      <c r="AD22" s="115"/>
      <c r="AE22" s="288">
        <v>1</v>
      </c>
      <c r="AF22" s="115"/>
      <c r="AG22" s="288">
        <v>1</v>
      </c>
      <c r="AH22" s="115"/>
      <c r="AI22" s="115"/>
      <c r="AJ22" s="115"/>
      <c r="AK22" s="115"/>
      <c r="AL22" s="286"/>
      <c r="AM22" s="115"/>
      <c r="AN22" s="115"/>
      <c r="AO22" s="286"/>
      <c r="AP22" s="115"/>
      <c r="AQ22" s="286"/>
      <c r="AR22" s="286"/>
      <c r="AS22" s="115"/>
      <c r="AT22" s="115"/>
      <c r="AU22" s="288">
        <v>3</v>
      </c>
      <c r="AV22" s="115"/>
      <c r="AW22" s="288">
        <v>2</v>
      </c>
      <c r="AX22" s="115"/>
      <c r="AY22" s="115"/>
      <c r="AZ22" s="115"/>
      <c r="BA22" s="115"/>
      <c r="BB22" s="115"/>
      <c r="BC22" s="284">
        <v>2</v>
      </c>
      <c r="BD22" s="115"/>
      <c r="BE22" s="115"/>
      <c r="BF22" s="115"/>
      <c r="BG22" s="115"/>
      <c r="BH22" s="115"/>
      <c r="BI22" s="115"/>
      <c r="BJ22" s="115"/>
      <c r="BK22" s="288">
        <v>2</v>
      </c>
      <c r="BL22" s="223">
        <f t="shared" si="1"/>
        <v>11</v>
      </c>
      <c r="BM22" s="224">
        <f t="shared" si="2"/>
        <v>-11</v>
      </c>
      <c r="BN22" s="209" t="str">
        <f t="shared" si="3"/>
        <v>Oke</v>
      </c>
      <c r="BO22" s="6"/>
      <c r="BP22" s="6"/>
      <c r="BQ22" s="6"/>
      <c r="BR22" s="6"/>
      <c r="BS22" s="6"/>
      <c r="BT22" s="6"/>
      <c r="BU22" s="6"/>
      <c r="BV22" s="6"/>
      <c r="BW22" s="6"/>
      <c r="BX22" s="6"/>
    </row>
    <row r="23" spans="1:76" ht="12.75" customHeight="1" x14ac:dyDescent="0.3">
      <c r="A23" s="294" t="s">
        <v>366</v>
      </c>
      <c r="B23" s="294" t="s">
        <v>306</v>
      </c>
      <c r="C23" s="294" t="s">
        <v>27</v>
      </c>
      <c r="D23" s="294" t="s">
        <v>208</v>
      </c>
      <c r="E23" s="208"/>
      <c r="F23" s="24">
        <f t="shared" ref="F23:F45" si="5">E23/12</f>
        <v>0</v>
      </c>
      <c r="G23" s="249"/>
      <c r="H23" s="101">
        <f t="shared" si="0"/>
        <v>0</v>
      </c>
      <c r="I23" s="79"/>
      <c r="J23" s="226">
        <f>I23*2*normuren!$B$26</f>
        <v>0</v>
      </c>
      <c r="K23" s="227">
        <f>IF(G23&lt;3,normuren!$B$8,IF(AND(G23&lt;6,G23&gt;2),normuren!$B$9,IF(AND(G23&lt;9,G23&gt;5),normuren!$B$10,normuren!$B$11)))</f>
        <v>15</v>
      </c>
      <c r="L23" s="228">
        <f>normuren!$B$24*2*12</f>
        <v>36</v>
      </c>
      <c r="M23" s="228">
        <f>normuren!$B$25*2*12</f>
        <v>45.599999999999994</v>
      </c>
      <c r="N23" s="250">
        <f>normuren!$B$29</f>
        <v>1.5</v>
      </c>
      <c r="O23" s="252"/>
      <c r="P23" s="303"/>
      <c r="Q23" s="119"/>
      <c r="R23" s="119"/>
      <c r="S23" s="119"/>
      <c r="T23" s="119"/>
      <c r="U23" s="115"/>
      <c r="V23" s="288">
        <v>2</v>
      </c>
      <c r="W23" s="287"/>
      <c r="X23" s="290" t="s">
        <v>696</v>
      </c>
      <c r="Y23" s="115"/>
      <c r="Z23" s="115"/>
      <c r="AA23" s="115"/>
      <c r="AB23" s="173"/>
      <c r="AC23" s="173"/>
      <c r="AD23" s="115"/>
      <c r="AE23" s="115"/>
      <c r="AF23" s="115"/>
      <c r="AG23" s="115"/>
      <c r="AH23" s="115"/>
      <c r="AI23" s="115"/>
      <c r="AJ23" s="115"/>
      <c r="AK23" s="115"/>
      <c r="AL23" s="286"/>
      <c r="AM23" s="115"/>
      <c r="AN23" s="115"/>
      <c r="AO23" s="286"/>
      <c r="AP23" s="115"/>
      <c r="AQ23" s="286"/>
      <c r="AR23" s="286"/>
      <c r="AS23" s="286" t="s">
        <v>695</v>
      </c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288">
        <v>3</v>
      </c>
      <c r="BE23" s="115"/>
      <c r="BF23" s="115"/>
      <c r="BG23" s="115"/>
      <c r="BH23" s="115"/>
      <c r="BI23" s="115"/>
      <c r="BJ23" s="288">
        <v>2</v>
      </c>
      <c r="BK23" s="115"/>
      <c r="BL23" s="223">
        <f t="shared" si="1"/>
        <v>7</v>
      </c>
      <c r="BM23" s="224">
        <f t="shared" si="2"/>
        <v>-7</v>
      </c>
      <c r="BN23" s="209" t="str">
        <f t="shared" si="3"/>
        <v>Oke</v>
      </c>
      <c r="BO23" s="6"/>
      <c r="BP23" s="6"/>
      <c r="BQ23" s="6"/>
      <c r="BR23" s="6"/>
      <c r="BS23" s="6"/>
      <c r="BT23" s="6"/>
      <c r="BU23" s="6"/>
      <c r="BV23" s="6"/>
      <c r="BW23" s="6"/>
      <c r="BX23" s="6"/>
    </row>
    <row r="24" spans="1:76" ht="12.75" customHeight="1" x14ac:dyDescent="0.3">
      <c r="A24" s="294" t="s">
        <v>524</v>
      </c>
      <c r="B24" s="294" t="s">
        <v>525</v>
      </c>
      <c r="C24" s="294" t="s">
        <v>27</v>
      </c>
      <c r="D24" s="294" t="s">
        <v>474</v>
      </c>
      <c r="E24" s="208"/>
      <c r="F24" s="24">
        <f t="shared" si="5"/>
        <v>0</v>
      </c>
      <c r="G24" s="249"/>
      <c r="H24" s="222">
        <f t="shared" si="0"/>
        <v>0</v>
      </c>
      <c r="I24" s="79"/>
      <c r="J24" s="228">
        <f>I24*2*normuren!$B$26</f>
        <v>0</v>
      </c>
      <c r="K24" s="228">
        <f>IF(G24&lt;3,normuren!$B$8,IF(AND(G24&lt;6,G24&gt;2),normuren!$B$9,IF(AND(G24&lt;9,G24&gt;5),normuren!$B$10,normuren!$B$11)))</f>
        <v>15</v>
      </c>
      <c r="L24" s="228">
        <f>normuren!$B$24*2*12</f>
        <v>36</v>
      </c>
      <c r="M24" s="228">
        <f>normuren!$B$25*2*12</f>
        <v>45.599999999999994</v>
      </c>
      <c r="N24" s="250">
        <f>normuren!$B$29</f>
        <v>1.5</v>
      </c>
      <c r="O24" s="115"/>
      <c r="P24" s="286"/>
      <c r="Q24" s="119"/>
      <c r="R24" s="119"/>
      <c r="S24" s="119"/>
      <c r="T24" s="119"/>
      <c r="U24" s="115"/>
      <c r="V24" s="115"/>
      <c r="W24" s="286"/>
      <c r="X24" s="115"/>
      <c r="Y24" s="115"/>
      <c r="Z24" s="115"/>
      <c r="AA24" s="115"/>
      <c r="AB24" s="115"/>
      <c r="AC24" s="115"/>
      <c r="AD24" s="288">
        <v>4</v>
      </c>
      <c r="AE24" s="115"/>
      <c r="AF24" s="115"/>
      <c r="AG24" s="115"/>
      <c r="AH24" s="115"/>
      <c r="AI24" s="115"/>
      <c r="AJ24" s="115"/>
      <c r="AK24" s="115"/>
      <c r="AL24" s="286"/>
      <c r="AM24" s="115"/>
      <c r="AN24" s="115"/>
      <c r="AO24" s="286"/>
      <c r="AP24" s="115"/>
      <c r="AQ24" s="286"/>
      <c r="AR24" s="286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223">
        <f t="shared" si="1"/>
        <v>4</v>
      </c>
      <c r="BM24" s="224">
        <f t="shared" si="2"/>
        <v>-4</v>
      </c>
      <c r="BN24" s="209" t="str">
        <f t="shared" si="3"/>
        <v>Oke</v>
      </c>
      <c r="BO24" s="6"/>
      <c r="BP24" s="6"/>
      <c r="BQ24" s="6"/>
      <c r="BR24" s="6"/>
      <c r="BS24" s="6"/>
      <c r="BT24" s="6"/>
      <c r="BU24" s="6"/>
      <c r="BV24" s="6"/>
      <c r="BW24" s="6"/>
      <c r="BX24" s="6"/>
    </row>
    <row r="25" spans="1:76" ht="12.75" customHeight="1" x14ac:dyDescent="0.3">
      <c r="A25" s="203" t="s">
        <v>581</v>
      </c>
      <c r="B25" s="203" t="s">
        <v>526</v>
      </c>
      <c r="C25" s="203" t="s">
        <v>246</v>
      </c>
      <c r="D25" s="203" t="s">
        <v>558</v>
      </c>
      <c r="E25" s="208"/>
      <c r="F25" s="24">
        <f t="shared" si="5"/>
        <v>0</v>
      </c>
      <c r="G25" s="249"/>
      <c r="H25" s="222">
        <f t="shared" si="0"/>
        <v>0</v>
      </c>
      <c r="I25" s="79"/>
      <c r="J25" s="228">
        <f>I25*2*normuren!$B$26</f>
        <v>0</v>
      </c>
      <c r="K25" s="228">
        <f>IF(G25&lt;3,normuren!$B$8,IF(AND(G25&lt;6,G25&gt;2),normuren!$B$9,IF(AND(G25&lt;9,G25&gt;5),normuren!$B$10,normuren!$B$11)))</f>
        <v>15</v>
      </c>
      <c r="L25" s="228">
        <f>normuren!$B$24*2*12</f>
        <v>36</v>
      </c>
      <c r="M25" s="228">
        <f>normuren!$B$25*2*12</f>
        <v>45.599999999999994</v>
      </c>
      <c r="N25" s="250">
        <f>normuren!$B$29</f>
        <v>1.5</v>
      </c>
      <c r="O25" s="115"/>
      <c r="P25" s="286"/>
      <c r="Q25" s="119"/>
      <c r="R25" s="119"/>
      <c r="S25" s="119"/>
      <c r="T25" s="119"/>
      <c r="U25" s="115"/>
      <c r="V25" s="115"/>
      <c r="W25" s="286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286"/>
      <c r="AM25" s="173"/>
      <c r="AN25" s="173"/>
      <c r="AO25" s="286"/>
      <c r="AP25" s="115"/>
      <c r="AQ25" s="286"/>
      <c r="AR25" s="286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223">
        <f t="shared" si="1"/>
        <v>0</v>
      </c>
      <c r="BM25" s="224">
        <f t="shared" si="2"/>
        <v>0</v>
      </c>
      <c r="BN25" s="209" t="str">
        <f t="shared" si="3"/>
        <v>Oke</v>
      </c>
      <c r="BO25" s="6"/>
      <c r="BP25" s="6"/>
      <c r="BQ25" s="6"/>
      <c r="BR25" s="6"/>
      <c r="BS25" s="6"/>
      <c r="BT25" s="6"/>
      <c r="BU25" s="6"/>
      <c r="BV25" s="6"/>
      <c r="BW25" s="6"/>
      <c r="BX25" s="6"/>
    </row>
    <row r="26" spans="1:76" ht="12.75" customHeight="1" x14ac:dyDescent="0.3">
      <c r="A26" s="294" t="s">
        <v>527</v>
      </c>
      <c r="B26" s="299" t="s">
        <v>528</v>
      </c>
      <c r="C26" s="294" t="s">
        <v>27</v>
      </c>
      <c r="D26" s="294" t="s">
        <v>161</v>
      </c>
      <c r="E26" s="208"/>
      <c r="F26" s="24">
        <f t="shared" si="5"/>
        <v>0</v>
      </c>
      <c r="G26" s="249"/>
      <c r="H26" s="101">
        <f t="shared" si="0"/>
        <v>0</v>
      </c>
      <c r="I26" s="79"/>
      <c r="J26" s="226">
        <f>I26*2*normuren!$B$26</f>
        <v>0</v>
      </c>
      <c r="K26" s="227">
        <f>IF(G26&lt;3,normuren!$B$8,IF(AND(G26&lt;6,G26&gt;2),normuren!$B$9,IF(AND(G26&lt;9,G26&gt;5),normuren!$B$10,normuren!$B$11)))</f>
        <v>15</v>
      </c>
      <c r="L26" s="228">
        <f>normuren!$B$24*2*12</f>
        <v>36</v>
      </c>
      <c r="M26" s="228">
        <f>normuren!$B$25*2*12</f>
        <v>45.599999999999994</v>
      </c>
      <c r="N26" s="250">
        <f>normuren!$B$29</f>
        <v>1.5</v>
      </c>
      <c r="O26" s="115"/>
      <c r="P26" s="286"/>
      <c r="Q26" s="119"/>
      <c r="R26" s="119"/>
      <c r="S26" s="119"/>
      <c r="T26" s="119"/>
      <c r="U26" s="115"/>
      <c r="V26" s="115"/>
      <c r="W26" s="286"/>
      <c r="X26" s="115"/>
      <c r="Y26" s="173"/>
      <c r="Z26" s="173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286"/>
      <c r="AM26" s="115"/>
      <c r="AN26" s="115"/>
      <c r="AO26" s="286" t="s">
        <v>695</v>
      </c>
      <c r="AP26" s="115"/>
      <c r="AQ26" s="286"/>
      <c r="AR26" s="286"/>
      <c r="AS26" s="115"/>
      <c r="AT26" s="115"/>
      <c r="AU26" s="115"/>
      <c r="AV26" s="115"/>
      <c r="AW26" s="115"/>
      <c r="AX26" s="115"/>
      <c r="AY26" s="115"/>
      <c r="AZ26" s="115"/>
      <c r="BA26" s="115"/>
      <c r="BB26" s="286" t="s">
        <v>695</v>
      </c>
      <c r="BC26" s="115"/>
      <c r="BD26" s="115"/>
      <c r="BE26" s="115"/>
      <c r="BF26" s="115"/>
      <c r="BG26" s="115"/>
      <c r="BH26" s="115"/>
      <c r="BI26" s="115"/>
      <c r="BJ26" s="115"/>
      <c r="BK26" s="115"/>
      <c r="BL26" s="223">
        <f t="shared" si="1"/>
        <v>0</v>
      </c>
      <c r="BM26" s="224">
        <f t="shared" si="2"/>
        <v>0</v>
      </c>
      <c r="BN26" s="209" t="str">
        <f t="shared" si="3"/>
        <v>Oke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</row>
    <row r="27" spans="1:76" ht="12.75" customHeight="1" x14ac:dyDescent="0.3">
      <c r="A27" s="294" t="s">
        <v>367</v>
      </c>
      <c r="B27" s="294" t="s">
        <v>307</v>
      </c>
      <c r="C27" s="294" t="s">
        <v>27</v>
      </c>
      <c r="D27" s="294" t="s">
        <v>208</v>
      </c>
      <c r="E27" s="208"/>
      <c r="F27" s="24">
        <f t="shared" si="5"/>
        <v>0</v>
      </c>
      <c r="G27" s="249"/>
      <c r="H27" s="101">
        <f t="shared" si="0"/>
        <v>0</v>
      </c>
      <c r="I27" s="79"/>
      <c r="J27" s="226">
        <f>I27*2*normuren!$B$26</f>
        <v>0</v>
      </c>
      <c r="K27" s="227">
        <f>IF(G27&lt;3,normuren!$B$8,IF(AND(G27&lt;6,G27&gt;2),normuren!$B$9,IF(AND(G27&lt;9,G27&gt;5),normuren!$B$10,normuren!$B$11)))</f>
        <v>15</v>
      </c>
      <c r="L27" s="228">
        <f>normuren!$B$24*2*12</f>
        <v>36</v>
      </c>
      <c r="M27" s="228">
        <f>normuren!$B$25*2*12</f>
        <v>45.599999999999994</v>
      </c>
      <c r="N27" s="250">
        <f>normuren!$B$29</f>
        <v>1.5</v>
      </c>
      <c r="O27" s="115"/>
      <c r="P27" s="286"/>
      <c r="Q27" s="119"/>
      <c r="R27" s="119"/>
      <c r="S27" s="119"/>
      <c r="T27" s="119"/>
      <c r="U27" s="115"/>
      <c r="V27" s="286" t="s">
        <v>695</v>
      </c>
      <c r="W27" s="286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286"/>
      <c r="AM27" s="115"/>
      <c r="AN27" s="115"/>
      <c r="AO27" s="286"/>
      <c r="AP27" s="115"/>
      <c r="AQ27" s="286"/>
      <c r="AR27" s="286"/>
      <c r="AS27" s="288">
        <v>3</v>
      </c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223">
        <f t="shared" si="1"/>
        <v>3</v>
      </c>
      <c r="BM27" s="224">
        <f t="shared" si="2"/>
        <v>-3</v>
      </c>
      <c r="BN27" s="209" t="str">
        <f t="shared" si="3"/>
        <v>Oke</v>
      </c>
      <c r="BO27" s="6"/>
      <c r="BP27" s="6"/>
      <c r="BQ27" s="6"/>
      <c r="BR27" s="6"/>
      <c r="BS27" s="6"/>
      <c r="BT27" s="6"/>
      <c r="BU27" s="6"/>
      <c r="BV27" s="6"/>
      <c r="BW27" s="6"/>
      <c r="BX27" s="6"/>
    </row>
    <row r="28" spans="1:76" ht="12.75" customHeight="1" x14ac:dyDescent="0.3">
      <c r="A28" s="203" t="s">
        <v>607</v>
      </c>
      <c r="B28" s="203" t="s">
        <v>608</v>
      </c>
      <c r="C28" s="203" t="s">
        <v>246</v>
      </c>
      <c r="D28" s="203" t="s">
        <v>609</v>
      </c>
      <c r="E28" s="208"/>
      <c r="F28" s="24">
        <f t="shared" si="5"/>
        <v>0</v>
      </c>
      <c r="G28" s="249"/>
      <c r="H28" s="101">
        <f t="shared" si="0"/>
        <v>0</v>
      </c>
      <c r="I28" s="79"/>
      <c r="J28" s="226">
        <f>I28*2*normuren!$B$26</f>
        <v>0</v>
      </c>
      <c r="K28" s="227">
        <f>IF(G28&lt;3,normuren!$B$8,IF(AND(G28&lt;6,G28&gt;2),normuren!$B$9,IF(AND(G28&lt;9,G28&gt;5),normuren!$B$10,normuren!$B$11)))</f>
        <v>15</v>
      </c>
      <c r="L28" s="228">
        <f>normuren!$B$24*2*12</f>
        <v>36</v>
      </c>
      <c r="M28" s="228">
        <f>normuren!$B$25*2*12</f>
        <v>45.599999999999994</v>
      </c>
      <c r="N28" s="250">
        <f>normuren!$B$29</f>
        <v>1.5</v>
      </c>
      <c r="O28" s="115"/>
      <c r="P28" s="286"/>
      <c r="Q28" s="119"/>
      <c r="R28" s="119"/>
      <c r="S28" s="119"/>
      <c r="T28" s="119"/>
      <c r="U28" s="115"/>
      <c r="V28" s="115"/>
      <c r="W28" s="286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286"/>
      <c r="AM28" s="115"/>
      <c r="AN28" s="115"/>
      <c r="AO28" s="286"/>
      <c r="AP28" s="115"/>
      <c r="AQ28" s="286"/>
      <c r="AR28" s="286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223">
        <f t="shared" si="1"/>
        <v>0</v>
      </c>
      <c r="BM28" s="224">
        <f t="shared" si="2"/>
        <v>0</v>
      </c>
      <c r="BN28" s="209" t="str">
        <f t="shared" si="3"/>
        <v>Oke</v>
      </c>
      <c r="BO28" s="6"/>
      <c r="BP28" s="6"/>
      <c r="BQ28" s="6"/>
      <c r="BR28" s="6"/>
      <c r="BS28" s="6"/>
      <c r="BT28" s="6"/>
      <c r="BU28" s="6"/>
      <c r="BV28" s="6"/>
      <c r="BW28" s="6"/>
      <c r="BX28" s="6"/>
    </row>
    <row r="29" spans="1:76" ht="12.75" customHeight="1" x14ac:dyDescent="0.3">
      <c r="A29" s="203" t="s">
        <v>316</v>
      </c>
      <c r="B29" s="203" t="s">
        <v>317</v>
      </c>
      <c r="C29" s="203" t="s">
        <v>250</v>
      </c>
      <c r="D29" s="207" t="s">
        <v>228</v>
      </c>
      <c r="E29" s="208"/>
      <c r="F29" s="24">
        <f t="shared" si="5"/>
        <v>0</v>
      </c>
      <c r="G29" s="249"/>
      <c r="H29" s="101">
        <f t="shared" si="0"/>
        <v>0</v>
      </c>
      <c r="I29" s="79"/>
      <c r="J29" s="226">
        <f>I29*2*normuren!$B$26</f>
        <v>0</v>
      </c>
      <c r="K29" s="227">
        <f>IF(G29&lt;3,normuren!$B$8,IF(AND(G29&lt;6,G29&gt;2),normuren!$B$9,IF(AND(G29&lt;9,G29&gt;5),normuren!$B$10,normuren!$B$11)))</f>
        <v>15</v>
      </c>
      <c r="L29" s="228">
        <f>normuren!$B$24*2*12</f>
        <v>36</v>
      </c>
      <c r="M29" s="228">
        <f>normuren!$B$25*2*12</f>
        <v>45.599999999999994</v>
      </c>
      <c r="N29" s="250">
        <f>normuren!$B$29</f>
        <v>1.5</v>
      </c>
      <c r="O29" s="115"/>
      <c r="P29" s="286"/>
      <c r="Q29" s="119"/>
      <c r="R29" s="119"/>
      <c r="S29" s="119"/>
      <c r="T29" s="119"/>
      <c r="U29" s="173"/>
      <c r="V29" s="115"/>
      <c r="W29" s="286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286"/>
      <c r="AM29" s="115"/>
      <c r="AN29" s="115"/>
      <c r="AO29" s="286"/>
      <c r="AP29" s="115"/>
      <c r="AQ29" s="286"/>
      <c r="AR29" s="286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223">
        <f t="shared" si="1"/>
        <v>0</v>
      </c>
      <c r="BM29" s="224">
        <f t="shared" si="2"/>
        <v>0</v>
      </c>
      <c r="BN29" s="209" t="str">
        <f t="shared" si="3"/>
        <v>Oke</v>
      </c>
      <c r="BO29" s="6"/>
      <c r="BP29" s="6"/>
      <c r="BQ29" s="6"/>
      <c r="BR29" s="6"/>
      <c r="BS29" s="6"/>
      <c r="BT29" s="6"/>
      <c r="BU29" s="6"/>
      <c r="BV29" s="6"/>
      <c r="BW29" s="6"/>
      <c r="BX29" s="6"/>
    </row>
    <row r="30" spans="1:76" ht="12.75" customHeight="1" x14ac:dyDescent="0.3">
      <c r="A30" s="203" t="s">
        <v>262</v>
      </c>
      <c r="B30" s="203" t="s">
        <v>225</v>
      </c>
      <c r="C30" s="203" t="s">
        <v>249</v>
      </c>
      <c r="D30" s="203" t="s">
        <v>226</v>
      </c>
      <c r="E30" s="208"/>
      <c r="F30" s="24">
        <f t="shared" si="5"/>
        <v>0</v>
      </c>
      <c r="G30" s="249"/>
      <c r="H30" s="101">
        <f t="shared" si="0"/>
        <v>0</v>
      </c>
      <c r="I30" s="79"/>
      <c r="J30" s="226">
        <f>I30*2*normuren!$B$26</f>
        <v>0</v>
      </c>
      <c r="K30" s="227">
        <f>IF(G30&lt;3,normuren!$B$8,IF(AND(G30&lt;6,G30&gt;2),normuren!$B$9,IF(AND(G30&lt;9,G30&gt;5),normuren!$B$10,normuren!$B$11)))</f>
        <v>15</v>
      </c>
      <c r="L30" s="228">
        <f>normuren!$B$24*2*12</f>
        <v>36</v>
      </c>
      <c r="M30" s="228">
        <f>normuren!$B$25*2*12</f>
        <v>45.599999999999994</v>
      </c>
      <c r="N30" s="250">
        <f>normuren!$B$29</f>
        <v>1.5</v>
      </c>
      <c r="O30" s="115"/>
      <c r="P30" s="286"/>
      <c r="Q30" s="119"/>
      <c r="R30" s="119"/>
      <c r="S30" s="119"/>
      <c r="T30" s="119"/>
      <c r="U30" s="173"/>
      <c r="V30" s="115"/>
      <c r="W30" s="286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286"/>
      <c r="AM30" s="115"/>
      <c r="AN30" s="115"/>
      <c r="AO30" s="286"/>
      <c r="AP30" s="115"/>
      <c r="AQ30" s="286"/>
      <c r="AR30" s="286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288">
        <v>4</v>
      </c>
      <c r="BH30" s="115"/>
      <c r="BI30" s="115"/>
      <c r="BJ30" s="288" t="s">
        <v>696</v>
      </c>
      <c r="BK30" s="115"/>
      <c r="BL30" s="223">
        <f t="shared" si="1"/>
        <v>4</v>
      </c>
      <c r="BM30" s="224">
        <f t="shared" si="2"/>
        <v>-4</v>
      </c>
      <c r="BN30" s="209" t="str">
        <f t="shared" si="3"/>
        <v>Oke</v>
      </c>
      <c r="BO30" s="6"/>
      <c r="BP30" s="6"/>
      <c r="BQ30" s="6"/>
      <c r="BR30" s="6"/>
      <c r="BS30" s="6"/>
      <c r="BT30" s="6"/>
      <c r="BU30" s="6"/>
      <c r="BV30" s="6"/>
      <c r="BW30" s="6"/>
      <c r="BX30" s="6"/>
    </row>
    <row r="31" spans="1:76" ht="12.75" customHeight="1" x14ac:dyDescent="0.3">
      <c r="A31" s="294" t="s">
        <v>582</v>
      </c>
      <c r="B31" s="294" t="s">
        <v>529</v>
      </c>
      <c r="C31" s="294" t="s">
        <v>27</v>
      </c>
      <c r="D31" s="294" t="s">
        <v>164</v>
      </c>
      <c r="E31" s="208"/>
      <c r="F31" s="24">
        <f t="shared" si="5"/>
        <v>0</v>
      </c>
      <c r="G31" s="249"/>
      <c r="H31" s="101">
        <f t="shared" si="0"/>
        <v>0</v>
      </c>
      <c r="I31" s="79"/>
      <c r="J31" s="226">
        <f>I31*2*normuren!$B$26</f>
        <v>0</v>
      </c>
      <c r="K31" s="227">
        <f>IF(G31&lt;3,normuren!$B$8,IF(AND(G31&lt;6,G31&gt;2),normuren!$B$9,IF(AND(G31&lt;9,G31&gt;5),normuren!$B$10,normuren!$B$11)))</f>
        <v>15</v>
      </c>
      <c r="L31" s="228">
        <f>normuren!$B$24*2*12</f>
        <v>36</v>
      </c>
      <c r="M31" s="228">
        <f>normuren!$B$25*2*12</f>
        <v>45.599999999999994</v>
      </c>
      <c r="N31" s="250">
        <f>normuren!$B$29</f>
        <v>1.5</v>
      </c>
      <c r="O31" s="115"/>
      <c r="P31" s="286"/>
      <c r="Q31" s="119"/>
      <c r="R31" s="119"/>
      <c r="S31" s="119"/>
      <c r="T31" s="119"/>
      <c r="U31" s="115"/>
      <c r="V31" s="115"/>
      <c r="W31" s="286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286"/>
      <c r="AM31" s="115"/>
      <c r="AN31" s="115"/>
      <c r="AO31" s="286"/>
      <c r="AP31" s="115"/>
      <c r="AQ31" s="286"/>
      <c r="AR31" s="286"/>
      <c r="AS31" s="115"/>
      <c r="AT31" s="115"/>
      <c r="AU31" s="115"/>
      <c r="AV31" s="115"/>
      <c r="AW31" s="284">
        <v>3</v>
      </c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223">
        <f t="shared" si="1"/>
        <v>3</v>
      </c>
      <c r="BM31" s="224">
        <f t="shared" si="2"/>
        <v>-3</v>
      </c>
      <c r="BN31" s="209" t="str">
        <f t="shared" si="3"/>
        <v>Oke</v>
      </c>
      <c r="BO31" s="6"/>
      <c r="BP31" s="6"/>
      <c r="BQ31" s="6"/>
      <c r="BR31" s="6"/>
      <c r="BS31" s="6"/>
      <c r="BT31" s="6"/>
      <c r="BU31" s="6"/>
      <c r="BV31" s="6"/>
      <c r="BW31" s="6"/>
      <c r="BX31" s="6"/>
    </row>
    <row r="32" spans="1:76" ht="12.75" customHeight="1" x14ac:dyDescent="0.3">
      <c r="A32" s="203" t="s">
        <v>530</v>
      </c>
      <c r="B32" s="203" t="s">
        <v>531</v>
      </c>
      <c r="C32" s="203" t="s">
        <v>250</v>
      </c>
      <c r="D32" s="203" t="s">
        <v>641</v>
      </c>
      <c r="E32" s="208"/>
      <c r="F32" s="24">
        <f t="shared" si="5"/>
        <v>0</v>
      </c>
      <c r="G32" s="249"/>
      <c r="H32" s="101">
        <f t="shared" si="0"/>
        <v>0</v>
      </c>
      <c r="I32" s="79"/>
      <c r="J32" s="226">
        <f>I32*2*normuren!$B$26</f>
        <v>0</v>
      </c>
      <c r="K32" s="227">
        <f>IF(G32&lt;3,normuren!$B$8,IF(AND(G32&lt;6,G32&gt;2),normuren!$B$9,IF(AND(G32&lt;9,G32&gt;5),normuren!$B$10,normuren!$B$11)))</f>
        <v>15</v>
      </c>
      <c r="L32" s="228">
        <f>normuren!$B$24*2*12</f>
        <v>36</v>
      </c>
      <c r="M32" s="228">
        <f>normuren!$B$25*2*12</f>
        <v>45.599999999999994</v>
      </c>
      <c r="N32" s="250">
        <f>normuren!$B$29</f>
        <v>1.5</v>
      </c>
      <c r="O32" s="173"/>
      <c r="P32" s="287"/>
      <c r="Q32" s="119"/>
      <c r="R32" s="119"/>
      <c r="S32" s="119"/>
      <c r="T32" s="119"/>
      <c r="U32" s="115"/>
      <c r="V32" s="115"/>
      <c r="W32" s="286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286"/>
      <c r="AM32" s="115"/>
      <c r="AN32" s="115"/>
      <c r="AO32" s="286"/>
      <c r="AP32" s="115"/>
      <c r="AQ32" s="287"/>
      <c r="AR32" s="286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223">
        <f t="shared" si="1"/>
        <v>0</v>
      </c>
      <c r="BM32" s="224">
        <f t="shared" si="2"/>
        <v>0</v>
      </c>
      <c r="BN32" s="209" t="str">
        <f t="shared" si="3"/>
        <v>Oke</v>
      </c>
      <c r="BO32" s="6"/>
      <c r="BP32" s="6"/>
      <c r="BQ32" s="6"/>
      <c r="BR32" s="6"/>
      <c r="BS32" s="6"/>
      <c r="BT32" s="6"/>
      <c r="BU32" s="6"/>
      <c r="BV32" s="6"/>
      <c r="BW32" s="6"/>
      <c r="BX32" s="6"/>
    </row>
    <row r="33" spans="1:76" ht="12.75" customHeight="1" x14ac:dyDescent="0.3">
      <c r="A33" s="203" t="s">
        <v>532</v>
      </c>
      <c r="B33" s="203" t="s">
        <v>533</v>
      </c>
      <c r="C33" s="203" t="s">
        <v>250</v>
      </c>
      <c r="D33" s="203" t="s">
        <v>559</v>
      </c>
      <c r="E33" s="208"/>
      <c r="F33" s="24">
        <f t="shared" si="5"/>
        <v>0</v>
      </c>
      <c r="G33" s="249"/>
      <c r="H33" s="101">
        <f t="shared" si="0"/>
        <v>0</v>
      </c>
      <c r="I33" s="79"/>
      <c r="J33" s="226">
        <f>I33*2*normuren!$B$26</f>
        <v>0</v>
      </c>
      <c r="K33" s="227">
        <f>IF(G33&lt;3,normuren!$B$8,IF(AND(G33&lt;6,G33&gt;2),normuren!$B$9,IF(AND(G33&lt;9,G33&gt;5),normuren!$B$10,normuren!$B$11)))</f>
        <v>15</v>
      </c>
      <c r="L33" s="228">
        <f>normuren!$B$24*2*12</f>
        <v>36</v>
      </c>
      <c r="M33" s="228">
        <f>normuren!$B$25*2*12</f>
        <v>45.599999999999994</v>
      </c>
      <c r="N33" s="250">
        <f>normuren!$B$29</f>
        <v>1.5</v>
      </c>
      <c r="O33" s="115"/>
      <c r="P33" s="286"/>
      <c r="Q33" s="119"/>
      <c r="R33" s="119"/>
      <c r="S33" s="119"/>
      <c r="T33" s="119"/>
      <c r="U33" s="115"/>
      <c r="V33" s="115"/>
      <c r="W33" s="286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286"/>
      <c r="AM33" s="115"/>
      <c r="AN33" s="115"/>
      <c r="AO33" s="286"/>
      <c r="AP33" s="115"/>
      <c r="AQ33" s="286"/>
      <c r="AR33" s="286"/>
      <c r="AS33" s="115"/>
      <c r="AT33" s="115"/>
      <c r="AU33" s="115"/>
      <c r="AV33" s="115"/>
      <c r="AW33" s="115"/>
      <c r="AX33" s="115"/>
      <c r="AY33" s="115"/>
      <c r="AZ33" s="115"/>
      <c r="BA33" s="115"/>
      <c r="BB33" s="173"/>
      <c r="BC33" s="115"/>
      <c r="BD33" s="115"/>
      <c r="BE33" s="115"/>
      <c r="BF33" s="115"/>
      <c r="BG33" s="115"/>
      <c r="BH33" s="115"/>
      <c r="BI33" s="115"/>
      <c r="BJ33" s="173"/>
      <c r="BK33" s="173"/>
      <c r="BL33" s="223">
        <f t="shared" si="1"/>
        <v>0</v>
      </c>
      <c r="BM33" s="224">
        <f t="shared" si="2"/>
        <v>0</v>
      </c>
      <c r="BN33" s="209" t="str">
        <f t="shared" si="3"/>
        <v>Oke</v>
      </c>
      <c r="BO33" s="6"/>
      <c r="BP33" s="6"/>
      <c r="BQ33" s="6"/>
      <c r="BR33" s="6"/>
      <c r="BS33" s="6"/>
      <c r="BT33" s="6"/>
      <c r="BU33" s="6"/>
      <c r="BV33" s="6"/>
      <c r="BW33" s="6"/>
      <c r="BX33" s="6"/>
    </row>
    <row r="34" spans="1:76" ht="12.75" customHeight="1" x14ac:dyDescent="0.3">
      <c r="A34" s="203" t="s">
        <v>534</v>
      </c>
      <c r="B34" s="203" t="s">
        <v>535</v>
      </c>
      <c r="C34" s="203" t="s">
        <v>250</v>
      </c>
      <c r="D34" s="205" t="s">
        <v>560</v>
      </c>
      <c r="E34" s="208"/>
      <c r="F34" s="24">
        <f t="shared" si="5"/>
        <v>0</v>
      </c>
      <c r="G34" s="249"/>
      <c r="H34" s="101">
        <f t="shared" si="0"/>
        <v>0</v>
      </c>
      <c r="I34" s="79"/>
      <c r="J34" s="226">
        <f>I34*2*normuren!$B$26</f>
        <v>0</v>
      </c>
      <c r="K34" s="227">
        <f>IF(G34&lt;3,normuren!$B$8,IF(AND(G34&lt;6,G34&gt;2),normuren!$B$9,IF(AND(G34&lt;9,G34&gt;5),normuren!$B$10,normuren!$B$11)))</f>
        <v>15</v>
      </c>
      <c r="L34" s="228">
        <f>normuren!$B$24*2*12</f>
        <v>36</v>
      </c>
      <c r="M34" s="228">
        <f>normuren!$B$25*2*12</f>
        <v>45.599999999999994</v>
      </c>
      <c r="N34" s="250">
        <f>normuren!$B$29</f>
        <v>1.5</v>
      </c>
      <c r="O34" s="115"/>
      <c r="P34" s="286"/>
      <c r="Q34" s="119"/>
      <c r="R34" s="119"/>
      <c r="S34" s="119"/>
      <c r="T34" s="119"/>
      <c r="U34" s="115"/>
      <c r="V34" s="115"/>
      <c r="W34" s="286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286"/>
      <c r="AM34" s="115"/>
      <c r="AN34" s="115"/>
      <c r="AO34" s="286"/>
      <c r="AP34" s="115"/>
      <c r="AQ34" s="286"/>
      <c r="AR34" s="286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223">
        <f t="shared" si="1"/>
        <v>0</v>
      </c>
      <c r="BM34" s="224">
        <f t="shared" si="2"/>
        <v>0</v>
      </c>
      <c r="BN34" s="209" t="str">
        <f t="shared" si="3"/>
        <v>Oke</v>
      </c>
      <c r="BO34" s="6"/>
      <c r="BP34" s="6"/>
      <c r="BQ34" s="6"/>
      <c r="BR34" s="6"/>
      <c r="BS34" s="6"/>
      <c r="BT34" s="6"/>
      <c r="BU34" s="6"/>
      <c r="BV34" s="6"/>
      <c r="BW34" s="6"/>
      <c r="BX34" s="6"/>
    </row>
    <row r="35" spans="1:76" ht="12.75" customHeight="1" x14ac:dyDescent="0.3">
      <c r="A35" s="203" t="s">
        <v>583</v>
      </c>
      <c r="B35" s="203" t="s">
        <v>536</v>
      </c>
      <c r="C35" s="205" t="s">
        <v>249</v>
      </c>
      <c r="D35" s="207" t="s">
        <v>561</v>
      </c>
      <c r="E35" s="208"/>
      <c r="F35" s="24">
        <f t="shared" si="5"/>
        <v>0</v>
      </c>
      <c r="G35" s="249"/>
      <c r="H35" s="101">
        <f t="shared" si="0"/>
        <v>0</v>
      </c>
      <c r="I35" s="79"/>
      <c r="J35" s="226">
        <f>I35*2*normuren!$B$26</f>
        <v>0</v>
      </c>
      <c r="K35" s="227">
        <f>IF(G35&lt;3,normuren!$B$8,IF(AND(G35&lt;6,G35&gt;2),normuren!$B$9,IF(AND(G35&lt;9,G35&gt;5),normuren!$B$10,normuren!$B$11)))</f>
        <v>15</v>
      </c>
      <c r="L35" s="228">
        <f>normuren!$B$24*2*12</f>
        <v>36</v>
      </c>
      <c r="M35" s="228">
        <f>normuren!$B$25*2*12</f>
        <v>45.599999999999994</v>
      </c>
      <c r="N35" s="250">
        <f>normuren!$B$29</f>
        <v>1.5</v>
      </c>
      <c r="O35" s="115"/>
      <c r="P35" s="286"/>
      <c r="Q35" s="119"/>
      <c r="R35" s="119"/>
      <c r="S35" s="119"/>
      <c r="T35" s="119"/>
      <c r="U35" s="115"/>
      <c r="V35" s="115"/>
      <c r="W35" s="286"/>
      <c r="X35" s="115"/>
      <c r="Y35" s="173"/>
      <c r="Z35" s="173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286"/>
      <c r="AM35" s="115"/>
      <c r="AN35" s="115"/>
      <c r="AO35" s="286"/>
      <c r="AP35" s="115"/>
      <c r="AQ35" s="286"/>
      <c r="AR35" s="286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223">
        <f t="shared" si="1"/>
        <v>0</v>
      </c>
      <c r="BM35" s="224">
        <f t="shared" si="2"/>
        <v>0</v>
      </c>
      <c r="BN35" s="209" t="str">
        <f t="shared" si="3"/>
        <v>Oke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</row>
    <row r="36" spans="1:76" ht="12.75" customHeight="1" x14ac:dyDescent="0.3">
      <c r="A36" s="203" t="s">
        <v>584</v>
      </c>
      <c r="B36" s="203" t="s">
        <v>537</v>
      </c>
      <c r="C36" s="203" t="s">
        <v>250</v>
      </c>
      <c r="D36" s="205" t="s">
        <v>672</v>
      </c>
      <c r="E36" s="208"/>
      <c r="F36" s="24">
        <f t="shared" si="5"/>
        <v>0</v>
      </c>
      <c r="G36" s="249"/>
      <c r="H36" s="101">
        <f t="shared" si="0"/>
        <v>0</v>
      </c>
      <c r="I36" s="79"/>
      <c r="J36" s="226">
        <f>I36*2*normuren!$B$26</f>
        <v>0</v>
      </c>
      <c r="K36" s="227">
        <f>IF(G36&lt;3,normuren!$B$8,IF(AND(G36&lt;6,G36&gt;2),normuren!$B$9,IF(AND(G36&lt;9,G36&gt;5),normuren!$B$10,normuren!$B$11)))</f>
        <v>15</v>
      </c>
      <c r="L36" s="228">
        <f>normuren!$B$24*2*12</f>
        <v>36</v>
      </c>
      <c r="M36" s="228">
        <f>normuren!$B$25*2*12</f>
        <v>45.599999999999994</v>
      </c>
      <c r="N36" s="250">
        <f>normuren!$B$29</f>
        <v>1.5</v>
      </c>
      <c r="O36" s="115"/>
      <c r="P36" s="286"/>
      <c r="Q36" s="119"/>
      <c r="R36" s="119"/>
      <c r="S36" s="119"/>
      <c r="T36" s="119"/>
      <c r="U36" s="115"/>
      <c r="V36" s="115"/>
      <c r="W36" s="286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286"/>
      <c r="AM36" s="115"/>
      <c r="AN36" s="115"/>
      <c r="AO36" s="286"/>
      <c r="AP36" s="115"/>
      <c r="AQ36" s="286"/>
      <c r="AR36" s="286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223">
        <f t="shared" si="1"/>
        <v>0</v>
      </c>
      <c r="BM36" s="224">
        <f t="shared" si="2"/>
        <v>0</v>
      </c>
      <c r="BN36" s="209" t="str">
        <f t="shared" si="3"/>
        <v>Oke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</row>
    <row r="37" spans="1:76" ht="12.75" customHeight="1" x14ac:dyDescent="0.3">
      <c r="A37" s="294" t="s">
        <v>585</v>
      </c>
      <c r="B37" s="294" t="s">
        <v>538</v>
      </c>
      <c r="C37" s="294" t="s">
        <v>27</v>
      </c>
      <c r="D37" s="294" t="s">
        <v>563</v>
      </c>
      <c r="E37" s="208"/>
      <c r="F37" s="24">
        <f t="shared" si="5"/>
        <v>0</v>
      </c>
      <c r="G37" s="249"/>
      <c r="H37" s="101">
        <f t="shared" ref="H37:H51" si="6">IF(G37=0,0,E37/G37)</f>
        <v>0</v>
      </c>
      <c r="I37" s="79"/>
      <c r="J37" s="226">
        <f>I37*2*normuren!$B$26</f>
        <v>0</v>
      </c>
      <c r="K37" s="227">
        <f>IF(G37&lt;3,normuren!$B$8,IF(AND(G37&lt;6,G37&gt;2),normuren!$B$9,IF(AND(G37&lt;9,G37&gt;5),normuren!$B$10,normuren!$B$11)))</f>
        <v>15</v>
      </c>
      <c r="L37" s="228">
        <f>normuren!$B$24*2*12</f>
        <v>36</v>
      </c>
      <c r="M37" s="228">
        <f>normuren!$B$25*2*12</f>
        <v>45.599999999999994</v>
      </c>
      <c r="N37" s="250">
        <f>normuren!$B$29</f>
        <v>1.5</v>
      </c>
      <c r="O37" s="115"/>
      <c r="P37" s="286"/>
      <c r="Q37" s="119"/>
      <c r="R37" s="119"/>
      <c r="S37" s="119"/>
      <c r="T37" s="119"/>
      <c r="U37" s="115"/>
      <c r="V37" s="115"/>
      <c r="W37" s="286"/>
      <c r="X37" s="115"/>
      <c r="Y37" s="115"/>
      <c r="Z37" s="115"/>
      <c r="AA37" s="115"/>
      <c r="AB37" s="115"/>
      <c r="AC37" s="115"/>
      <c r="AD37" s="115"/>
      <c r="AE37" s="288">
        <v>1</v>
      </c>
      <c r="AF37" s="115"/>
      <c r="AG37" s="115"/>
      <c r="AH37" s="288">
        <v>1</v>
      </c>
      <c r="AI37" s="115"/>
      <c r="AJ37" s="115"/>
      <c r="AK37" s="115"/>
      <c r="AL37" s="286"/>
      <c r="AM37" s="115"/>
      <c r="AN37" s="115"/>
      <c r="AO37" s="286"/>
      <c r="AP37" s="115"/>
      <c r="AQ37" s="286"/>
      <c r="AR37" s="286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73"/>
      <c r="BI37" s="173"/>
      <c r="BJ37" s="115"/>
      <c r="BK37" s="115"/>
      <c r="BL37" s="223">
        <f t="shared" si="1"/>
        <v>2</v>
      </c>
      <c r="BM37" s="224">
        <f t="shared" si="2"/>
        <v>-2</v>
      </c>
      <c r="BN37" s="209" t="str">
        <f t="shared" ref="BN37:BN51" si="7">IF(BM37&gt;0,"Problem","Oke")</f>
        <v>Oke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</row>
    <row r="38" spans="1:76" ht="12.75" customHeight="1" x14ac:dyDescent="0.3">
      <c r="A38" s="203" t="s">
        <v>539</v>
      </c>
      <c r="B38" s="203" t="s">
        <v>540</v>
      </c>
      <c r="C38" s="203" t="s">
        <v>246</v>
      </c>
      <c r="D38" s="203" t="s">
        <v>564</v>
      </c>
      <c r="E38" s="208"/>
      <c r="F38" s="24">
        <f t="shared" si="5"/>
        <v>0</v>
      </c>
      <c r="G38" s="249"/>
      <c r="H38" s="101">
        <f t="shared" si="6"/>
        <v>0</v>
      </c>
      <c r="I38" s="79"/>
      <c r="J38" s="226">
        <f>I38*2*normuren!$B$26</f>
        <v>0</v>
      </c>
      <c r="K38" s="227">
        <f>IF(G38&lt;3,normuren!$B$8,IF(AND(G38&lt;6,G38&gt;2),normuren!$B$9,IF(AND(G38&lt;9,G38&gt;5),normuren!$B$10,normuren!$B$11)))</f>
        <v>15</v>
      </c>
      <c r="L38" s="228">
        <f>normuren!$B$24*2*12</f>
        <v>36</v>
      </c>
      <c r="M38" s="228">
        <f>normuren!$B$25*2*12</f>
        <v>45.599999999999994</v>
      </c>
      <c r="N38" s="250">
        <f>normuren!$B$29</f>
        <v>1.5</v>
      </c>
      <c r="O38" s="115"/>
      <c r="P38" s="286"/>
      <c r="Q38" s="119"/>
      <c r="R38" s="119"/>
      <c r="S38" s="119"/>
      <c r="T38" s="173"/>
      <c r="U38" s="115"/>
      <c r="V38" s="115"/>
      <c r="W38" s="286"/>
      <c r="X38" s="115"/>
      <c r="Y38" s="115"/>
      <c r="Z38" s="115"/>
      <c r="AA38" s="173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286"/>
      <c r="AM38" s="115"/>
      <c r="AN38" s="115"/>
      <c r="AO38" s="286"/>
      <c r="AP38" s="115"/>
      <c r="AQ38" s="286"/>
      <c r="AR38" s="286"/>
      <c r="AS38" s="173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223">
        <f t="shared" si="1"/>
        <v>0</v>
      </c>
      <c r="BM38" s="224">
        <f t="shared" si="2"/>
        <v>0</v>
      </c>
      <c r="BN38" s="209" t="str">
        <f t="shared" si="7"/>
        <v>Oke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</row>
    <row r="39" spans="1:76" ht="12.75" customHeight="1" x14ac:dyDescent="0.3">
      <c r="A39" s="203" t="s">
        <v>378</v>
      </c>
      <c r="B39" s="203" t="s">
        <v>327</v>
      </c>
      <c r="C39" s="203" t="s">
        <v>250</v>
      </c>
      <c r="D39" s="203" t="s">
        <v>671</v>
      </c>
      <c r="E39" s="208"/>
      <c r="F39" s="24">
        <f t="shared" si="5"/>
        <v>0</v>
      </c>
      <c r="G39" s="249"/>
      <c r="H39" s="101">
        <f t="shared" si="6"/>
        <v>0</v>
      </c>
      <c r="I39" s="79"/>
      <c r="J39" s="226">
        <f>I39*2*normuren!$B$26</f>
        <v>0</v>
      </c>
      <c r="K39" s="227">
        <f>IF(G39&lt;3,normuren!$B$8,IF(AND(G39&lt;6,G39&gt;2),normuren!$B$9,IF(AND(G39&lt;9,G39&gt;5),normuren!$B$10,normuren!$B$11)))</f>
        <v>15</v>
      </c>
      <c r="L39" s="228">
        <f>normuren!$B$24*2*12</f>
        <v>36</v>
      </c>
      <c r="M39" s="228">
        <f>normuren!$B$25*2*12</f>
        <v>45.599999999999994</v>
      </c>
      <c r="N39" s="250">
        <f>normuren!$B$29</f>
        <v>1.5</v>
      </c>
      <c r="O39" s="115"/>
      <c r="P39" s="286"/>
      <c r="Q39" s="119"/>
      <c r="R39" s="119"/>
      <c r="S39" s="119"/>
      <c r="T39" s="119"/>
      <c r="U39" s="115"/>
      <c r="V39" s="115"/>
      <c r="W39" s="286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286"/>
      <c r="AM39" s="115"/>
      <c r="AN39" s="115"/>
      <c r="AO39" s="286"/>
      <c r="AP39" s="115"/>
      <c r="AQ39" s="286"/>
      <c r="AR39" s="286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223">
        <f t="shared" si="1"/>
        <v>0</v>
      </c>
      <c r="BM39" s="224">
        <f t="shared" si="2"/>
        <v>0</v>
      </c>
      <c r="BN39" s="209" t="str">
        <f t="shared" si="7"/>
        <v>Oke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</row>
    <row r="40" spans="1:76" ht="12.75" customHeight="1" x14ac:dyDescent="0.3">
      <c r="A40" s="203" t="s">
        <v>586</v>
      </c>
      <c r="B40" s="203" t="s">
        <v>541</v>
      </c>
      <c r="C40" s="203" t="s">
        <v>250</v>
      </c>
      <c r="D40" s="203" t="s">
        <v>565</v>
      </c>
      <c r="E40" s="208"/>
      <c r="F40" s="24">
        <f t="shared" si="5"/>
        <v>0</v>
      </c>
      <c r="G40" s="249"/>
      <c r="H40" s="101">
        <f t="shared" si="6"/>
        <v>0</v>
      </c>
      <c r="I40" s="79"/>
      <c r="J40" s="226">
        <f>I40*2*normuren!$B$26</f>
        <v>0</v>
      </c>
      <c r="K40" s="227">
        <f>IF(G40&lt;3,normuren!$B$8,IF(AND(G40&lt;6,G40&gt;2),normuren!$B$9,IF(AND(G40&lt;9,G40&gt;5),normuren!$B$10,normuren!$B$11)))</f>
        <v>15</v>
      </c>
      <c r="L40" s="228">
        <f>normuren!$B$24*2*12</f>
        <v>36</v>
      </c>
      <c r="M40" s="228">
        <f>normuren!$B$25*2*12</f>
        <v>45.599999999999994</v>
      </c>
      <c r="N40" s="250">
        <f>normuren!$B$29</f>
        <v>1.5</v>
      </c>
      <c r="O40" s="115"/>
      <c r="P40" s="286"/>
      <c r="Q40" s="119"/>
      <c r="R40" s="119"/>
      <c r="S40" s="119"/>
      <c r="T40" s="119"/>
      <c r="U40" s="115"/>
      <c r="V40" s="115"/>
      <c r="W40" s="286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286"/>
      <c r="AM40" s="115"/>
      <c r="AN40" s="115"/>
      <c r="AO40" s="286"/>
      <c r="AP40" s="115"/>
      <c r="AQ40" s="286"/>
      <c r="AR40" s="286"/>
      <c r="AS40" s="115"/>
      <c r="AT40" s="115"/>
      <c r="AU40" s="173"/>
      <c r="AV40" s="173"/>
      <c r="AW40" s="173"/>
      <c r="AX40" s="173"/>
      <c r="AY40" s="173"/>
      <c r="AZ40" s="173"/>
      <c r="BA40" s="173"/>
      <c r="BB40" s="115"/>
      <c r="BC40" s="173"/>
      <c r="BD40" s="173"/>
      <c r="BE40" s="173"/>
      <c r="BF40" s="173"/>
      <c r="BG40" s="173"/>
      <c r="BH40" s="115"/>
      <c r="BI40" s="115"/>
      <c r="BJ40" s="115"/>
      <c r="BK40" s="115"/>
      <c r="BL40" s="223">
        <f t="shared" si="1"/>
        <v>0</v>
      </c>
      <c r="BM40" s="224">
        <f t="shared" si="2"/>
        <v>0</v>
      </c>
      <c r="BN40" s="209" t="str">
        <f t="shared" si="7"/>
        <v>Oke</v>
      </c>
      <c r="BO40" s="6"/>
      <c r="BP40" s="6"/>
      <c r="BQ40" s="6"/>
      <c r="BR40" s="6"/>
      <c r="BS40" s="6"/>
      <c r="BT40" s="6"/>
      <c r="BU40" s="6"/>
      <c r="BV40" s="6"/>
      <c r="BW40" s="6"/>
      <c r="BX40" s="6"/>
    </row>
    <row r="41" spans="1:76" ht="12.75" customHeight="1" x14ac:dyDescent="0.3">
      <c r="A41" s="301" t="s">
        <v>542</v>
      </c>
      <c r="B41" s="301" t="s">
        <v>543</v>
      </c>
      <c r="C41" s="301" t="s">
        <v>27</v>
      </c>
      <c r="D41" s="301" t="s">
        <v>458</v>
      </c>
      <c r="E41" s="208"/>
      <c r="F41" s="24">
        <f t="shared" si="5"/>
        <v>0</v>
      </c>
      <c r="G41" s="249"/>
      <c r="H41" s="101">
        <f t="shared" si="6"/>
        <v>0</v>
      </c>
      <c r="I41" s="79"/>
      <c r="J41" s="226">
        <f>I41*2*normuren!$B$26</f>
        <v>0</v>
      </c>
      <c r="K41" s="227">
        <f>IF(G41&lt;3,normuren!$B$8,IF(AND(G41&lt;6,G41&gt;2),normuren!$B$9,IF(AND(G41&lt;9,G41&gt;5),normuren!$B$10,normuren!$B$11)))</f>
        <v>15</v>
      </c>
      <c r="L41" s="228">
        <f>normuren!$B$24*2*12</f>
        <v>36</v>
      </c>
      <c r="M41" s="228">
        <f>normuren!$B$25*2*12</f>
        <v>45.599999999999994</v>
      </c>
      <c r="N41" s="250">
        <f>normuren!$B$29</f>
        <v>1.5</v>
      </c>
      <c r="O41" s="115"/>
      <c r="P41" s="286"/>
      <c r="Q41" s="119"/>
      <c r="R41" s="119"/>
      <c r="S41" s="119"/>
      <c r="T41" s="119"/>
      <c r="U41" s="115"/>
      <c r="V41" s="115"/>
      <c r="W41" s="286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288">
        <v>2</v>
      </c>
      <c r="AL41" s="287"/>
      <c r="AM41" s="115"/>
      <c r="AN41" s="115"/>
      <c r="AO41" s="286"/>
      <c r="AP41" s="115"/>
      <c r="AQ41" s="286"/>
      <c r="AR41" s="286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223">
        <f t="shared" si="1"/>
        <v>2</v>
      </c>
      <c r="BM41" s="224">
        <f t="shared" si="2"/>
        <v>-2</v>
      </c>
      <c r="BN41" s="209" t="str">
        <f t="shared" si="7"/>
        <v>Oke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</row>
    <row r="42" spans="1:76" ht="12.75" customHeight="1" x14ac:dyDescent="0.3">
      <c r="A42" s="294" t="s">
        <v>587</v>
      </c>
      <c r="B42" s="294" t="s">
        <v>544</v>
      </c>
      <c r="C42" s="294" t="s">
        <v>27</v>
      </c>
      <c r="D42" s="294" t="s">
        <v>238</v>
      </c>
      <c r="E42" s="208"/>
      <c r="F42" s="24">
        <f t="shared" si="5"/>
        <v>0</v>
      </c>
      <c r="G42" s="249"/>
      <c r="H42" s="101">
        <f t="shared" si="6"/>
        <v>0</v>
      </c>
      <c r="I42" s="79"/>
      <c r="J42" s="226">
        <f>I42*2*normuren!$B$26</f>
        <v>0</v>
      </c>
      <c r="K42" s="227">
        <f>IF(G42&lt;3,normuren!$B$8,IF(AND(G42&lt;6,G42&gt;2),normuren!$B$9,IF(AND(G42&lt;9,G42&gt;5),normuren!$B$10,normuren!$B$11)))</f>
        <v>15</v>
      </c>
      <c r="L42" s="228">
        <f>normuren!$B$24*2*12</f>
        <v>36</v>
      </c>
      <c r="M42" s="228">
        <f>normuren!$B$25*2*12</f>
        <v>45.599999999999994</v>
      </c>
      <c r="N42" s="250">
        <f>normuren!$B$29</f>
        <v>1.5</v>
      </c>
      <c r="O42" s="115"/>
      <c r="P42" s="286"/>
      <c r="Q42" s="119"/>
      <c r="R42" s="119"/>
      <c r="S42" s="119"/>
      <c r="T42" s="119"/>
      <c r="U42" s="267" t="s">
        <v>696</v>
      </c>
      <c r="V42" s="173"/>
      <c r="W42" s="287"/>
      <c r="X42" s="173"/>
      <c r="Y42" s="288">
        <v>1</v>
      </c>
      <c r="Z42" s="115"/>
      <c r="AA42" s="173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286"/>
      <c r="AM42" s="115"/>
      <c r="AN42" s="115"/>
      <c r="AO42" s="286"/>
      <c r="AP42" s="115"/>
      <c r="AQ42" s="286"/>
      <c r="AR42" s="286"/>
      <c r="AS42" s="173"/>
      <c r="AT42" s="173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288" t="s">
        <v>696</v>
      </c>
      <c r="BK42" s="115"/>
      <c r="BL42" s="223">
        <f t="shared" si="1"/>
        <v>1</v>
      </c>
      <c r="BM42" s="224">
        <f t="shared" si="2"/>
        <v>-1</v>
      </c>
      <c r="BN42" s="209" t="str">
        <f t="shared" si="7"/>
        <v>Oke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</row>
    <row r="43" spans="1:76" ht="12.75" customHeight="1" x14ac:dyDescent="0.3">
      <c r="A43" s="203" t="s">
        <v>652</v>
      </c>
      <c r="B43" s="203" t="s">
        <v>653</v>
      </c>
      <c r="C43" s="203" t="s">
        <v>249</v>
      </c>
      <c r="D43" s="203" t="s">
        <v>562</v>
      </c>
      <c r="E43" s="208"/>
      <c r="F43" s="24">
        <f t="shared" si="5"/>
        <v>0</v>
      </c>
      <c r="G43" s="249"/>
      <c r="H43" s="101">
        <f t="shared" si="6"/>
        <v>0</v>
      </c>
      <c r="I43" s="79"/>
      <c r="J43" s="226">
        <f>I43*2*normuren!$B$26</f>
        <v>0</v>
      </c>
      <c r="K43" s="227">
        <f>IF(G43&lt;3,normuren!$B$8,IF(AND(G43&lt;6,G43&gt;2),normuren!$B$9,IF(AND(G43&lt;9,G43&gt;5),normuren!$B$10,normuren!$B$11)))</f>
        <v>15</v>
      </c>
      <c r="L43" s="228">
        <f>normuren!$B$24*2*12</f>
        <v>36</v>
      </c>
      <c r="M43" s="228">
        <f>normuren!$B$25*2*12</f>
        <v>45.599999999999994</v>
      </c>
      <c r="N43" s="250">
        <f>normuren!$B$29</f>
        <v>1.5</v>
      </c>
      <c r="O43" s="115"/>
      <c r="P43" s="286"/>
      <c r="Q43" s="119"/>
      <c r="R43" s="119"/>
      <c r="S43" s="119"/>
      <c r="T43" s="119"/>
      <c r="U43" s="115"/>
      <c r="V43" s="115"/>
      <c r="W43" s="286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286"/>
      <c r="AM43" s="115"/>
      <c r="AN43" s="115"/>
      <c r="AO43" s="286"/>
      <c r="AP43" s="115"/>
      <c r="AQ43" s="286"/>
      <c r="AR43" s="286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223">
        <f t="shared" si="1"/>
        <v>0</v>
      </c>
      <c r="BM43" s="224">
        <f t="shared" si="2"/>
        <v>0</v>
      </c>
      <c r="BN43" s="209" t="str">
        <f t="shared" si="7"/>
        <v>Oke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</row>
    <row r="44" spans="1:76" ht="12.75" customHeight="1" x14ac:dyDescent="0.3">
      <c r="A44" s="203" t="s">
        <v>588</v>
      </c>
      <c r="B44" s="203" t="s">
        <v>545</v>
      </c>
      <c r="C44" s="203" t="s">
        <v>250</v>
      </c>
      <c r="D44" s="203" t="s">
        <v>671</v>
      </c>
      <c r="E44" s="208"/>
      <c r="F44" s="24">
        <f t="shared" si="5"/>
        <v>0</v>
      </c>
      <c r="G44" s="249"/>
      <c r="H44" s="101">
        <f t="shared" si="6"/>
        <v>0</v>
      </c>
      <c r="I44" s="79"/>
      <c r="J44" s="226">
        <f>I44*2*normuren!$B$26</f>
        <v>0</v>
      </c>
      <c r="K44" s="227">
        <f>IF(G44&lt;3,normuren!$B$8,IF(AND(G44&lt;6,G44&gt;2),normuren!$B$9,IF(AND(G44&lt;9,G44&gt;5),normuren!$B$10,normuren!$B$11)))</f>
        <v>15</v>
      </c>
      <c r="L44" s="228">
        <f>normuren!$B$24*2*12</f>
        <v>36</v>
      </c>
      <c r="M44" s="228">
        <f>normuren!$B$25*2*12</f>
        <v>45.599999999999994</v>
      </c>
      <c r="N44" s="250">
        <f>normuren!$B$29</f>
        <v>1.5</v>
      </c>
      <c r="O44" s="173"/>
      <c r="P44" s="287"/>
      <c r="Q44" s="119"/>
      <c r="R44" s="119"/>
      <c r="S44" s="119"/>
      <c r="T44" s="119"/>
      <c r="U44" s="115"/>
      <c r="V44" s="115"/>
      <c r="W44" s="286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286"/>
      <c r="AM44" s="115"/>
      <c r="AN44" s="115"/>
      <c r="AO44" s="286"/>
      <c r="AP44" s="115"/>
      <c r="AQ44" s="286"/>
      <c r="AR44" s="286"/>
      <c r="AS44" s="115"/>
      <c r="AT44" s="173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223">
        <f t="shared" si="1"/>
        <v>0</v>
      </c>
      <c r="BM44" s="224">
        <f t="shared" si="2"/>
        <v>0</v>
      </c>
      <c r="BN44" s="209" t="str">
        <f t="shared" si="7"/>
        <v>Oke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</row>
    <row r="45" spans="1:76" ht="12.75" customHeight="1" x14ac:dyDescent="0.3">
      <c r="A45" s="203" t="s">
        <v>589</v>
      </c>
      <c r="B45" s="203" t="s">
        <v>546</v>
      </c>
      <c r="C45" s="203" t="s">
        <v>250</v>
      </c>
      <c r="D45" s="203" t="s">
        <v>566</v>
      </c>
      <c r="E45" s="208"/>
      <c r="F45" s="24">
        <f t="shared" si="5"/>
        <v>0</v>
      </c>
      <c r="G45" s="249"/>
      <c r="H45" s="101">
        <f t="shared" si="6"/>
        <v>0</v>
      </c>
      <c r="I45" s="79"/>
      <c r="J45" s="226">
        <f>I45*2*normuren!$B$26</f>
        <v>0</v>
      </c>
      <c r="K45" s="227">
        <f>IF(G45&lt;3,normuren!$B$8,IF(AND(G45&lt;6,G45&gt;2),normuren!$B$9,IF(AND(G45&lt;9,G45&gt;5),normuren!$B$10,normuren!$B$11)))</f>
        <v>15</v>
      </c>
      <c r="L45" s="228">
        <f>normuren!$B$24*2*12</f>
        <v>36</v>
      </c>
      <c r="M45" s="228">
        <f>normuren!$B$25*2*12</f>
        <v>45.599999999999994</v>
      </c>
      <c r="N45" s="250">
        <f>normuren!$B$29</f>
        <v>1.5</v>
      </c>
      <c r="O45" s="115"/>
      <c r="P45" s="286"/>
      <c r="Q45" s="119"/>
      <c r="R45" s="119"/>
      <c r="S45" s="119"/>
      <c r="T45" s="119"/>
      <c r="U45" s="115"/>
      <c r="V45" s="115"/>
      <c r="W45" s="286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286"/>
      <c r="AM45" s="115"/>
      <c r="AN45" s="115"/>
      <c r="AO45" s="286"/>
      <c r="AP45" s="115"/>
      <c r="AQ45" s="286"/>
      <c r="AR45" s="286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223">
        <f t="shared" si="1"/>
        <v>0</v>
      </c>
      <c r="BM45" s="224">
        <f t="shared" si="2"/>
        <v>0</v>
      </c>
      <c r="BN45" s="209" t="str">
        <f t="shared" si="7"/>
        <v>Oke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</row>
    <row r="46" spans="1:76" ht="12.75" customHeight="1" x14ac:dyDescent="0.3">
      <c r="A46" s="294" t="s">
        <v>590</v>
      </c>
      <c r="B46" s="294" t="s">
        <v>547</v>
      </c>
      <c r="C46" s="301" t="s">
        <v>27</v>
      </c>
      <c r="D46" s="294" t="s">
        <v>214</v>
      </c>
      <c r="E46" s="208"/>
      <c r="F46" s="24">
        <f t="shared" ref="F46:F51" si="8">$E46/12</f>
        <v>0</v>
      </c>
      <c r="G46" s="249"/>
      <c r="H46" s="101">
        <f t="shared" si="6"/>
        <v>0</v>
      </c>
      <c r="I46" s="79"/>
      <c r="J46" s="226">
        <f>I46*2*normuren!$B$26</f>
        <v>0</v>
      </c>
      <c r="K46" s="227">
        <f>IF(G46&lt;3,normuren!$B$8,IF(AND(G46&lt;6,G46&gt;2),normuren!$B$9,IF(AND(G46&lt;9,G46&gt;5),normuren!$B$10,normuren!$B$11)))</f>
        <v>15</v>
      </c>
      <c r="L46" s="228">
        <f>normuren!$B$27</f>
        <v>20</v>
      </c>
      <c r="M46" s="228">
        <v>20</v>
      </c>
      <c r="N46" s="250">
        <f>normuren!$B$29</f>
        <v>1.5</v>
      </c>
      <c r="O46" s="176"/>
      <c r="P46" s="304"/>
      <c r="Q46" s="119"/>
      <c r="R46" s="119"/>
      <c r="S46" s="119"/>
      <c r="T46" s="119"/>
      <c r="U46" s="115"/>
      <c r="V46" s="288" t="s">
        <v>696</v>
      </c>
      <c r="W46" s="286"/>
      <c r="X46" s="115"/>
      <c r="Y46" s="115"/>
      <c r="Z46" s="115"/>
      <c r="AA46" s="115"/>
      <c r="AB46" s="115"/>
      <c r="AC46" s="115"/>
      <c r="AD46" s="115"/>
      <c r="AE46" s="115"/>
      <c r="AF46" s="115"/>
      <c r="AG46" s="173"/>
      <c r="AH46" s="288">
        <v>2</v>
      </c>
      <c r="AI46" s="115"/>
      <c r="AJ46" s="115"/>
      <c r="AK46" s="115"/>
      <c r="AL46" s="286"/>
      <c r="AM46" s="115"/>
      <c r="AN46" s="115"/>
      <c r="AO46" s="286"/>
      <c r="AP46" s="115"/>
      <c r="AQ46" s="286"/>
      <c r="AR46" s="286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288" t="s">
        <v>696</v>
      </c>
      <c r="BE46" s="115"/>
      <c r="BF46" s="115"/>
      <c r="BG46" s="115"/>
      <c r="BH46" s="115"/>
      <c r="BI46" s="115"/>
      <c r="BJ46" s="115"/>
      <c r="BK46" s="115"/>
      <c r="BL46" s="223">
        <f t="shared" si="1"/>
        <v>2</v>
      </c>
      <c r="BM46" s="224">
        <f t="shared" si="2"/>
        <v>-2</v>
      </c>
      <c r="BN46" s="209" t="str">
        <f t="shared" si="7"/>
        <v>Oke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</row>
    <row r="47" spans="1:76" ht="12.75" customHeight="1" x14ac:dyDescent="0.3">
      <c r="A47" s="203" t="s">
        <v>591</v>
      </c>
      <c r="B47" s="203" t="s">
        <v>548</v>
      </c>
      <c r="C47" s="203" t="s">
        <v>249</v>
      </c>
      <c r="D47" s="203" t="s">
        <v>226</v>
      </c>
      <c r="E47" s="208"/>
      <c r="F47" s="24">
        <f t="shared" si="8"/>
        <v>0</v>
      </c>
      <c r="G47" s="249"/>
      <c r="H47" s="101">
        <f t="shared" si="6"/>
        <v>0</v>
      </c>
      <c r="I47" s="79"/>
      <c r="J47" s="226">
        <f>I47*2*normuren!$B$26</f>
        <v>0</v>
      </c>
      <c r="K47" s="227">
        <f>IF(G47&lt;3,normuren!$B$8,IF(AND(G47&lt;6,G47&gt;2),normuren!$B$9,IF(AND(G47&lt;9,G47&gt;5),normuren!$B$10,normuren!$B$11)))</f>
        <v>15</v>
      </c>
      <c r="L47" s="228">
        <f>normuren!$B$27</f>
        <v>20</v>
      </c>
      <c r="M47" s="228">
        <v>20</v>
      </c>
      <c r="N47" s="250">
        <f>normuren!$B$29</f>
        <v>1.5</v>
      </c>
      <c r="O47" s="115"/>
      <c r="P47" s="286"/>
      <c r="Q47" s="119"/>
      <c r="R47" s="119"/>
      <c r="S47" s="119"/>
      <c r="T47" s="119"/>
      <c r="U47" s="115"/>
      <c r="V47" s="115"/>
      <c r="W47" s="286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286"/>
      <c r="AM47" s="115"/>
      <c r="AN47" s="115"/>
      <c r="AO47" s="286"/>
      <c r="AP47" s="115"/>
      <c r="AQ47" s="286"/>
      <c r="AR47" s="286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223">
        <f t="shared" si="1"/>
        <v>0</v>
      </c>
      <c r="BM47" s="224">
        <f t="shared" si="2"/>
        <v>0</v>
      </c>
      <c r="BN47" s="209" t="str">
        <f t="shared" si="7"/>
        <v>Oke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</row>
    <row r="48" spans="1:76" ht="12.75" customHeight="1" x14ac:dyDescent="0.3">
      <c r="A48" s="203" t="s">
        <v>592</v>
      </c>
      <c r="B48" s="203" t="s">
        <v>549</v>
      </c>
      <c r="C48" s="203" t="s">
        <v>249</v>
      </c>
      <c r="D48" s="203" t="s">
        <v>349</v>
      </c>
      <c r="E48" s="208"/>
      <c r="F48" s="24">
        <f t="shared" si="8"/>
        <v>0</v>
      </c>
      <c r="G48" s="249"/>
      <c r="H48" s="101">
        <f t="shared" si="6"/>
        <v>0</v>
      </c>
      <c r="I48" s="79"/>
      <c r="J48" s="226">
        <f>I48*2*normuren!$B$26</f>
        <v>0</v>
      </c>
      <c r="K48" s="227">
        <f>IF(G48&lt;3,normuren!$B$8,IF(AND(G48&lt;6,G48&gt;2),normuren!$B$9,IF(AND(G48&lt;9,G48&gt;5),normuren!$B$10,normuren!$B$11)))</f>
        <v>15</v>
      </c>
      <c r="L48" s="228">
        <f>normuren!$B$27</f>
        <v>20</v>
      </c>
      <c r="M48" s="228">
        <v>21</v>
      </c>
      <c r="N48" s="250">
        <f>normuren!$B$29</f>
        <v>1.5</v>
      </c>
      <c r="O48" s="115"/>
      <c r="P48" s="286"/>
      <c r="Q48" s="119"/>
      <c r="R48" s="119"/>
      <c r="S48" s="119"/>
      <c r="T48" s="119"/>
      <c r="U48" s="115"/>
      <c r="V48" s="115"/>
      <c r="W48" s="286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286"/>
      <c r="AM48" s="115"/>
      <c r="AN48" s="115"/>
      <c r="AO48" s="286"/>
      <c r="AP48" s="115"/>
      <c r="AQ48" s="286"/>
      <c r="AR48" s="286"/>
      <c r="AS48" s="115"/>
      <c r="AT48" s="115"/>
      <c r="AU48" s="211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  <c r="BF48" s="211"/>
      <c r="BG48" s="211"/>
      <c r="BH48" s="211"/>
      <c r="BI48" s="211"/>
      <c r="BJ48" s="282" t="s">
        <v>696</v>
      </c>
      <c r="BK48" s="211"/>
      <c r="BL48" s="223">
        <f t="shared" si="1"/>
        <v>0</v>
      </c>
      <c r="BM48" s="224">
        <f t="shared" si="2"/>
        <v>0</v>
      </c>
      <c r="BN48" s="209" t="str">
        <f t="shared" si="7"/>
        <v>Oke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</row>
    <row r="49" spans="1:76" ht="12.75" customHeight="1" x14ac:dyDescent="0.3">
      <c r="A49" s="203" t="s">
        <v>593</v>
      </c>
      <c r="B49" s="203" t="s">
        <v>550</v>
      </c>
      <c r="C49" s="203" t="s">
        <v>478</v>
      </c>
      <c r="D49" s="203" t="s">
        <v>567</v>
      </c>
      <c r="E49" s="208"/>
      <c r="F49" s="24">
        <f t="shared" si="8"/>
        <v>0</v>
      </c>
      <c r="G49" s="249"/>
      <c r="H49" s="101">
        <f t="shared" si="6"/>
        <v>0</v>
      </c>
      <c r="I49" s="79"/>
      <c r="J49" s="226">
        <f>I49*2*normuren!$B$26</f>
        <v>0</v>
      </c>
      <c r="K49" s="227">
        <f>IF(G49&lt;3,normuren!$B$8,IF(AND(G49&lt;6,G49&gt;2),normuren!$B$9,IF(AND(G49&lt;9,G49&gt;5),normuren!$B$10,normuren!$B$11)))</f>
        <v>15</v>
      </c>
      <c r="L49" s="228">
        <f>normuren!$B$27</f>
        <v>20</v>
      </c>
      <c r="M49" s="228">
        <v>22</v>
      </c>
      <c r="N49" s="250">
        <f>normuren!$B$29</f>
        <v>1.5</v>
      </c>
      <c r="O49" s="115"/>
      <c r="P49" s="286"/>
      <c r="Q49" s="119"/>
      <c r="R49" s="119"/>
      <c r="S49" s="119"/>
      <c r="T49" s="119"/>
      <c r="U49" s="115"/>
      <c r="V49" s="115"/>
      <c r="W49" s="286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286"/>
      <c r="AM49" s="115"/>
      <c r="AN49" s="115"/>
      <c r="AO49" s="286"/>
      <c r="AP49" s="115"/>
      <c r="AQ49" s="286"/>
      <c r="AR49" s="286"/>
      <c r="AS49" s="115"/>
      <c r="AT49" s="115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23">
        <f t="shared" si="1"/>
        <v>0</v>
      </c>
      <c r="BM49" s="224">
        <f t="shared" si="2"/>
        <v>0</v>
      </c>
      <c r="BN49" s="209" t="str">
        <f t="shared" si="7"/>
        <v>Oke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</row>
    <row r="50" spans="1:76" ht="12.75" customHeight="1" x14ac:dyDescent="0.3">
      <c r="A50" s="294" t="s">
        <v>594</v>
      </c>
      <c r="B50" s="294" t="s">
        <v>551</v>
      </c>
      <c r="C50" s="294" t="s">
        <v>27</v>
      </c>
      <c r="D50" s="294" t="s">
        <v>198</v>
      </c>
      <c r="E50" s="208"/>
      <c r="F50" s="24">
        <f t="shared" si="8"/>
        <v>0</v>
      </c>
      <c r="G50" s="249"/>
      <c r="H50" s="101">
        <f t="shared" si="6"/>
        <v>0</v>
      </c>
      <c r="I50" s="79"/>
      <c r="J50" s="226">
        <f>I50*2*normuren!$B$26</f>
        <v>0</v>
      </c>
      <c r="K50" s="227">
        <f>IF(G50&lt;3,normuren!$B$8,IF(AND(G50&lt;6,G50&gt;2),normuren!$B$9,IF(AND(G50&lt;9,G50&gt;5),normuren!$B$10,normuren!$B$11)))</f>
        <v>15</v>
      </c>
      <c r="L50" s="228">
        <f>normuren!$B$27</f>
        <v>20</v>
      </c>
      <c r="M50" s="228">
        <v>23</v>
      </c>
      <c r="N50" s="250">
        <f>normuren!$B$29</f>
        <v>1.5</v>
      </c>
      <c r="O50" s="115"/>
      <c r="P50" s="286"/>
      <c r="Q50" s="119"/>
      <c r="R50" s="119"/>
      <c r="S50" s="119"/>
      <c r="T50" s="119"/>
      <c r="U50" s="115"/>
      <c r="V50" s="115"/>
      <c r="W50" s="286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286"/>
      <c r="AM50" s="115"/>
      <c r="AN50" s="115"/>
      <c r="AO50" s="286"/>
      <c r="AP50" s="115"/>
      <c r="AQ50" s="286"/>
      <c r="AR50" s="286"/>
      <c r="AS50" s="115"/>
      <c r="AT50" s="288">
        <v>2</v>
      </c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11"/>
      <c r="BK50" s="211"/>
      <c r="BL50" s="223">
        <f t="shared" si="1"/>
        <v>2</v>
      </c>
      <c r="BM50" s="224">
        <f t="shared" si="2"/>
        <v>-2</v>
      </c>
      <c r="BN50" s="209" t="str">
        <f t="shared" si="7"/>
        <v>Oke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</row>
    <row r="51" spans="1:76" ht="12.75" customHeight="1" x14ac:dyDescent="0.3">
      <c r="A51" s="294" t="s">
        <v>552</v>
      </c>
      <c r="B51" s="294" t="s">
        <v>670</v>
      </c>
      <c r="C51" s="294" t="s">
        <v>27</v>
      </c>
      <c r="D51" s="294" t="s">
        <v>470</v>
      </c>
      <c r="E51" s="208"/>
      <c r="F51" s="24">
        <f t="shared" si="8"/>
        <v>0</v>
      </c>
      <c r="G51" s="249"/>
      <c r="H51" s="101">
        <f t="shared" si="6"/>
        <v>0</v>
      </c>
      <c r="I51" s="79"/>
      <c r="J51" s="226">
        <f>I51*2*normuren!$B$26</f>
        <v>0</v>
      </c>
      <c r="K51" s="227">
        <f>IF(G51&lt;3,normuren!$B$8,IF(AND(G51&lt;6,G51&gt;2),normuren!$B$9,IF(AND(G51&lt;9,G51&gt;5),normuren!$B$10,normuren!$B$11)))</f>
        <v>15</v>
      </c>
      <c r="L51" s="228">
        <f>normuren!$B$27</f>
        <v>20</v>
      </c>
      <c r="M51" s="228">
        <v>24</v>
      </c>
      <c r="N51" s="250">
        <f>normuren!$B$29</f>
        <v>1.5</v>
      </c>
      <c r="O51" s="115"/>
      <c r="P51" s="286"/>
      <c r="Q51" s="119"/>
      <c r="R51" s="267">
        <v>3</v>
      </c>
      <c r="S51" s="119"/>
      <c r="T51" s="119"/>
      <c r="U51" s="115"/>
      <c r="V51" s="115"/>
      <c r="W51" s="286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286"/>
      <c r="AM51" s="115"/>
      <c r="AN51" s="115"/>
      <c r="AO51" s="286"/>
      <c r="AP51" s="115"/>
      <c r="AQ51" s="286"/>
      <c r="AR51" s="286"/>
      <c r="AS51" s="115"/>
      <c r="AT51" s="115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/>
      <c r="BJ51" s="211"/>
      <c r="BK51" s="211"/>
      <c r="BL51" s="223">
        <f t="shared" si="1"/>
        <v>3</v>
      </c>
      <c r="BM51" s="224">
        <f t="shared" si="2"/>
        <v>-3</v>
      </c>
      <c r="BN51" s="209" t="str">
        <f t="shared" si="7"/>
        <v>Oke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</row>
    <row r="52" spans="1:76" s="158" customFormat="1" hidden="1" x14ac:dyDescent="0.2">
      <c r="A52" s="171" t="s">
        <v>10</v>
      </c>
      <c r="B52" s="149"/>
      <c r="C52" s="134"/>
      <c r="D52" s="134"/>
      <c r="E52" s="135"/>
      <c r="F52" s="150"/>
      <c r="G52" s="151">
        <f>SUM(G5:G47)</f>
        <v>0</v>
      </c>
      <c r="H52" s="134"/>
      <c r="I52" s="134"/>
      <c r="J52" s="134"/>
      <c r="K52" s="134"/>
      <c r="L52" s="136"/>
      <c r="M52" s="136"/>
      <c r="N52" s="152"/>
      <c r="O52" s="143">
        <f t="shared" ref="O52:AU52" si="9">SUM(O3:O51)</f>
        <v>0</v>
      </c>
      <c r="P52" s="143">
        <f t="shared" si="9"/>
        <v>0</v>
      </c>
      <c r="Q52" s="143">
        <f t="shared" si="9"/>
        <v>0</v>
      </c>
      <c r="R52" s="143">
        <f t="shared" si="9"/>
        <v>4</v>
      </c>
      <c r="S52" s="143">
        <f t="shared" si="9"/>
        <v>2</v>
      </c>
      <c r="T52" s="143">
        <f t="shared" si="9"/>
        <v>0</v>
      </c>
      <c r="U52" s="143">
        <f t="shared" si="9"/>
        <v>1</v>
      </c>
      <c r="V52" s="143">
        <f t="shared" si="9"/>
        <v>3</v>
      </c>
      <c r="W52" s="143">
        <f t="shared" si="9"/>
        <v>0</v>
      </c>
      <c r="X52" s="143">
        <f t="shared" si="9"/>
        <v>0</v>
      </c>
      <c r="Y52" s="143">
        <f t="shared" si="9"/>
        <v>1</v>
      </c>
      <c r="Z52" s="143">
        <f t="shared" si="9"/>
        <v>0</v>
      </c>
      <c r="AA52" s="143">
        <f t="shared" si="9"/>
        <v>0</v>
      </c>
      <c r="AB52" s="143">
        <f t="shared" si="9"/>
        <v>0</v>
      </c>
      <c r="AC52" s="143">
        <f t="shared" si="9"/>
        <v>0</v>
      </c>
      <c r="AD52" s="143">
        <f t="shared" si="9"/>
        <v>4</v>
      </c>
      <c r="AE52" s="143">
        <f t="shared" si="9"/>
        <v>2</v>
      </c>
      <c r="AF52" s="143">
        <f t="shared" si="9"/>
        <v>0</v>
      </c>
      <c r="AG52" s="143">
        <f t="shared" si="9"/>
        <v>1</v>
      </c>
      <c r="AH52" s="143">
        <f t="shared" si="9"/>
        <v>4</v>
      </c>
      <c r="AI52" s="143">
        <f t="shared" si="9"/>
        <v>0</v>
      </c>
      <c r="AJ52" s="143">
        <f t="shared" si="9"/>
        <v>0</v>
      </c>
      <c r="AK52" s="143">
        <f t="shared" si="9"/>
        <v>3</v>
      </c>
      <c r="AL52" s="143">
        <f t="shared" si="9"/>
        <v>0</v>
      </c>
      <c r="AM52" s="143">
        <f t="shared" si="9"/>
        <v>0</v>
      </c>
      <c r="AN52" s="143">
        <f t="shared" si="9"/>
        <v>0</v>
      </c>
      <c r="AO52" s="143">
        <f t="shared" si="9"/>
        <v>0</v>
      </c>
      <c r="AP52" s="143">
        <f t="shared" si="9"/>
        <v>1</v>
      </c>
      <c r="AQ52" s="143">
        <f t="shared" si="9"/>
        <v>0</v>
      </c>
      <c r="AR52" s="143">
        <f t="shared" si="9"/>
        <v>0</v>
      </c>
      <c r="AS52" s="143">
        <f t="shared" si="9"/>
        <v>3</v>
      </c>
      <c r="AT52" s="143">
        <f t="shared" si="9"/>
        <v>3</v>
      </c>
      <c r="AU52" s="143">
        <f t="shared" si="9"/>
        <v>5</v>
      </c>
      <c r="AV52" s="143"/>
      <c r="AW52" s="143"/>
      <c r="AX52" s="143">
        <f>SUM(AX3:AX51)</f>
        <v>0</v>
      </c>
      <c r="AY52" s="143"/>
      <c r="AZ52" s="143"/>
      <c r="BA52" s="143">
        <f>SUM(BA3:BA51)</f>
        <v>0</v>
      </c>
      <c r="BB52" s="143">
        <f>SUM(BB3:BB51)</f>
        <v>3</v>
      </c>
      <c r="BC52" s="143"/>
      <c r="BD52" s="143"/>
      <c r="BE52" s="143"/>
      <c r="BF52" s="143"/>
      <c r="BG52" s="143"/>
      <c r="BH52" s="143">
        <f>SUM(BH3:BH51)</f>
        <v>0</v>
      </c>
      <c r="BI52" s="143"/>
      <c r="BJ52" s="143">
        <f>SUM(BJ3:BJ51)</f>
        <v>3</v>
      </c>
      <c r="BK52" s="143">
        <f>SUM(BK3:BK51)</f>
        <v>2</v>
      </c>
      <c r="BL52" s="141">
        <f>SUM(BL3:BL51)</f>
        <v>58</v>
      </c>
      <c r="BM52" s="141">
        <f>SUM(BM3:BM51)</f>
        <v>-58</v>
      </c>
    </row>
    <row r="53" spans="1:76" hidden="1" x14ac:dyDescent="0.2">
      <c r="A53" s="172" t="s">
        <v>39</v>
      </c>
      <c r="B53" s="146"/>
      <c r="C53" s="30"/>
      <c r="D53" s="30"/>
      <c r="E53" s="31"/>
      <c r="F53" s="30"/>
      <c r="G53" s="30"/>
      <c r="H53" s="30"/>
      <c r="I53" s="30"/>
      <c r="J53" s="30"/>
      <c r="K53" s="30"/>
      <c r="L53" s="32"/>
      <c r="M53" s="32"/>
      <c r="N53" s="147"/>
      <c r="O53" s="143" t="e">
        <f t="shared" ref="O53:AT53" si="10">SUMPRODUCT($L$3:$L$58,O3:O51)</f>
        <v>#VALUE!</v>
      </c>
      <c r="P53" s="141" t="e">
        <f t="shared" si="10"/>
        <v>#VALUE!</v>
      </c>
      <c r="Q53" s="141" t="e">
        <f t="shared" si="10"/>
        <v>#VALUE!</v>
      </c>
      <c r="R53" s="141" t="e">
        <f t="shared" si="10"/>
        <v>#VALUE!</v>
      </c>
      <c r="S53" s="141" t="e">
        <f t="shared" si="10"/>
        <v>#VALUE!</v>
      </c>
      <c r="T53" s="141" t="e">
        <f t="shared" si="10"/>
        <v>#VALUE!</v>
      </c>
      <c r="U53" s="141" t="e">
        <f t="shared" si="10"/>
        <v>#VALUE!</v>
      </c>
      <c r="V53" s="141" t="e">
        <f t="shared" si="10"/>
        <v>#VALUE!</v>
      </c>
      <c r="W53" s="141" t="e">
        <f t="shared" si="10"/>
        <v>#VALUE!</v>
      </c>
      <c r="X53" s="141" t="e">
        <f t="shared" si="10"/>
        <v>#VALUE!</v>
      </c>
      <c r="Y53" s="141" t="e">
        <f t="shared" si="10"/>
        <v>#VALUE!</v>
      </c>
      <c r="Z53" s="141" t="e">
        <f t="shared" si="10"/>
        <v>#VALUE!</v>
      </c>
      <c r="AA53" s="141" t="e">
        <f t="shared" si="10"/>
        <v>#VALUE!</v>
      </c>
      <c r="AB53" s="141" t="e">
        <f t="shared" si="10"/>
        <v>#VALUE!</v>
      </c>
      <c r="AC53" s="141" t="e">
        <f t="shared" si="10"/>
        <v>#VALUE!</v>
      </c>
      <c r="AD53" s="141" t="e">
        <f t="shared" si="10"/>
        <v>#VALUE!</v>
      </c>
      <c r="AE53" s="141" t="e">
        <f t="shared" si="10"/>
        <v>#VALUE!</v>
      </c>
      <c r="AF53" s="141" t="e">
        <f t="shared" si="10"/>
        <v>#VALUE!</v>
      </c>
      <c r="AG53" s="141" t="e">
        <f t="shared" si="10"/>
        <v>#VALUE!</v>
      </c>
      <c r="AH53" s="141" t="e">
        <f t="shared" si="10"/>
        <v>#VALUE!</v>
      </c>
      <c r="AI53" s="141" t="e">
        <f t="shared" si="10"/>
        <v>#VALUE!</v>
      </c>
      <c r="AJ53" s="141" t="e">
        <f t="shared" si="10"/>
        <v>#VALUE!</v>
      </c>
      <c r="AK53" s="141" t="e">
        <f t="shared" si="10"/>
        <v>#VALUE!</v>
      </c>
      <c r="AL53" s="141" t="e">
        <f t="shared" si="10"/>
        <v>#VALUE!</v>
      </c>
      <c r="AM53" s="141" t="e">
        <f t="shared" si="10"/>
        <v>#VALUE!</v>
      </c>
      <c r="AN53" s="141" t="e">
        <f t="shared" si="10"/>
        <v>#VALUE!</v>
      </c>
      <c r="AO53" s="141" t="e">
        <f t="shared" si="10"/>
        <v>#VALUE!</v>
      </c>
      <c r="AP53" s="141" t="e">
        <f t="shared" si="10"/>
        <v>#VALUE!</v>
      </c>
      <c r="AQ53" s="141" t="e">
        <f t="shared" si="10"/>
        <v>#VALUE!</v>
      </c>
      <c r="AR53" s="141" t="e">
        <f t="shared" si="10"/>
        <v>#VALUE!</v>
      </c>
      <c r="AS53" s="141" t="e">
        <f t="shared" si="10"/>
        <v>#VALUE!</v>
      </c>
      <c r="AT53" s="141" t="e">
        <f t="shared" si="10"/>
        <v>#VALUE!</v>
      </c>
      <c r="AU53" s="143">
        <f t="shared" ref="AU53:AU60" si="11">SUM(AU5:AU51)</f>
        <v>5</v>
      </c>
      <c r="AV53" s="143"/>
      <c r="AW53" s="143"/>
      <c r="AX53" s="143">
        <f t="shared" ref="AX53:AX60" si="12">SUM(AX5:AX51)</f>
        <v>0</v>
      </c>
      <c r="AY53" s="143"/>
      <c r="AZ53" s="143"/>
      <c r="BA53" s="143">
        <f t="shared" ref="BA53:BA60" si="13">SUM(BA5:BA51)</f>
        <v>0</v>
      </c>
      <c r="BB53" s="143">
        <f t="shared" ref="BB53:BB60" si="14">SUM(BB5:BB51)</f>
        <v>3</v>
      </c>
      <c r="BC53" s="143"/>
      <c r="BD53" s="143"/>
      <c r="BE53" s="143"/>
      <c r="BF53" s="143"/>
      <c r="BG53" s="143"/>
      <c r="BH53" s="143">
        <f t="shared" ref="BH53:BH60" si="15">SUM(BH5:BH51)</f>
        <v>0</v>
      </c>
      <c r="BI53" s="143"/>
      <c r="BJ53" s="143">
        <f t="shared" ref="BJ53:BK60" si="16">SUM(BJ5:BJ51)</f>
        <v>3</v>
      </c>
      <c r="BK53" s="143">
        <f t="shared" si="16"/>
        <v>2</v>
      </c>
      <c r="BL53" s="141" t="e">
        <f>SUMPRODUCT($L$3:$L$48,BL3:BL51)</f>
        <v>#VALUE!</v>
      </c>
      <c r="BM53" s="141"/>
      <c r="BN53" s="158"/>
      <c r="BO53" s="6"/>
      <c r="BP53" s="6"/>
      <c r="BQ53" s="6"/>
      <c r="BR53" s="6"/>
      <c r="BS53" s="6"/>
      <c r="BT53" s="6"/>
      <c r="BU53" s="6"/>
      <c r="BV53" s="6"/>
      <c r="BW53" s="6"/>
      <c r="BX53" s="6"/>
    </row>
    <row r="54" spans="1:76" hidden="1" x14ac:dyDescent="0.2">
      <c r="A54" s="172" t="s">
        <v>54</v>
      </c>
      <c r="B54" s="146"/>
      <c r="C54" s="30"/>
      <c r="D54" s="30"/>
      <c r="E54" s="31"/>
      <c r="F54" s="30"/>
      <c r="G54" s="30"/>
      <c r="H54" s="30"/>
      <c r="I54" s="30"/>
      <c r="J54" s="30"/>
      <c r="K54" s="30"/>
      <c r="L54" s="32"/>
      <c r="M54" s="32"/>
      <c r="N54" s="147"/>
      <c r="O54" s="144" t="e">
        <f t="shared" ref="O54:AT54" si="17">SUMPRODUCT($H$3:$H$58,$N$3:$N$58,O3:O51)</f>
        <v>#VALUE!</v>
      </c>
      <c r="P54" s="139" t="e">
        <f t="shared" si="17"/>
        <v>#VALUE!</v>
      </c>
      <c r="Q54" s="139" t="e">
        <f t="shared" si="17"/>
        <v>#VALUE!</v>
      </c>
      <c r="R54" s="139" t="e">
        <f t="shared" si="17"/>
        <v>#VALUE!</v>
      </c>
      <c r="S54" s="139" t="e">
        <f t="shared" si="17"/>
        <v>#VALUE!</v>
      </c>
      <c r="T54" s="139" t="e">
        <f t="shared" si="17"/>
        <v>#VALUE!</v>
      </c>
      <c r="U54" s="139" t="e">
        <f t="shared" si="17"/>
        <v>#VALUE!</v>
      </c>
      <c r="V54" s="139" t="e">
        <f t="shared" si="17"/>
        <v>#VALUE!</v>
      </c>
      <c r="W54" s="139" t="e">
        <f t="shared" si="17"/>
        <v>#VALUE!</v>
      </c>
      <c r="X54" s="139" t="e">
        <f t="shared" si="17"/>
        <v>#VALUE!</v>
      </c>
      <c r="Y54" s="139" t="e">
        <f t="shared" si="17"/>
        <v>#VALUE!</v>
      </c>
      <c r="Z54" s="139" t="e">
        <f t="shared" si="17"/>
        <v>#VALUE!</v>
      </c>
      <c r="AA54" s="139" t="e">
        <f t="shared" si="17"/>
        <v>#VALUE!</v>
      </c>
      <c r="AB54" s="139" t="e">
        <f t="shared" si="17"/>
        <v>#VALUE!</v>
      </c>
      <c r="AC54" s="139" t="e">
        <f t="shared" si="17"/>
        <v>#VALUE!</v>
      </c>
      <c r="AD54" s="139" t="e">
        <f t="shared" si="17"/>
        <v>#VALUE!</v>
      </c>
      <c r="AE54" s="139" t="e">
        <f t="shared" si="17"/>
        <v>#VALUE!</v>
      </c>
      <c r="AF54" s="139" t="e">
        <f t="shared" si="17"/>
        <v>#VALUE!</v>
      </c>
      <c r="AG54" s="139" t="e">
        <f t="shared" si="17"/>
        <v>#VALUE!</v>
      </c>
      <c r="AH54" s="139" t="e">
        <f t="shared" si="17"/>
        <v>#VALUE!</v>
      </c>
      <c r="AI54" s="139" t="e">
        <f t="shared" si="17"/>
        <v>#VALUE!</v>
      </c>
      <c r="AJ54" s="139" t="e">
        <f t="shared" si="17"/>
        <v>#VALUE!</v>
      </c>
      <c r="AK54" s="139" t="e">
        <f t="shared" si="17"/>
        <v>#VALUE!</v>
      </c>
      <c r="AL54" s="139" t="e">
        <f t="shared" si="17"/>
        <v>#VALUE!</v>
      </c>
      <c r="AM54" s="139" t="e">
        <f t="shared" si="17"/>
        <v>#VALUE!</v>
      </c>
      <c r="AN54" s="139" t="e">
        <f t="shared" si="17"/>
        <v>#VALUE!</v>
      </c>
      <c r="AO54" s="139" t="e">
        <f t="shared" si="17"/>
        <v>#VALUE!</v>
      </c>
      <c r="AP54" s="139" t="e">
        <f t="shared" si="17"/>
        <v>#VALUE!</v>
      </c>
      <c r="AQ54" s="139" t="e">
        <f t="shared" si="17"/>
        <v>#VALUE!</v>
      </c>
      <c r="AR54" s="139" t="e">
        <f t="shared" si="17"/>
        <v>#VALUE!</v>
      </c>
      <c r="AS54" s="139" t="e">
        <f t="shared" si="17"/>
        <v>#VALUE!</v>
      </c>
      <c r="AT54" s="139" t="e">
        <f t="shared" si="17"/>
        <v>#VALUE!</v>
      </c>
      <c r="AU54" s="143">
        <f t="shared" si="11"/>
        <v>8</v>
      </c>
      <c r="AV54" s="143"/>
      <c r="AW54" s="143"/>
      <c r="AX54" s="143">
        <f t="shared" si="12"/>
        <v>0</v>
      </c>
      <c r="AY54" s="143"/>
      <c r="AZ54" s="143"/>
      <c r="BA54" s="143">
        <f t="shared" si="13"/>
        <v>0</v>
      </c>
      <c r="BB54" s="143">
        <f t="shared" si="14"/>
        <v>3</v>
      </c>
      <c r="BC54" s="143"/>
      <c r="BD54" s="143"/>
      <c r="BE54" s="143"/>
      <c r="BF54" s="143"/>
      <c r="BG54" s="143"/>
      <c r="BH54" s="143">
        <f t="shared" si="15"/>
        <v>0</v>
      </c>
      <c r="BI54" s="143"/>
      <c r="BJ54" s="143">
        <f t="shared" si="16"/>
        <v>6</v>
      </c>
      <c r="BK54" s="143">
        <f t="shared" si="16"/>
        <v>4</v>
      </c>
      <c r="BL54" s="139" t="e">
        <f>SUMPRODUCT($H$3:$H$48,$N$3:$N$48,BL3:BL51)</f>
        <v>#VALUE!</v>
      </c>
      <c r="BM54" s="139"/>
      <c r="BN54" s="158"/>
      <c r="BO54" s="6"/>
      <c r="BP54" s="6"/>
      <c r="BQ54" s="6"/>
      <c r="BR54" s="6"/>
      <c r="BS54" s="6"/>
      <c r="BT54" s="6"/>
      <c r="BU54" s="6"/>
      <c r="BV54" s="6"/>
      <c r="BW54" s="6"/>
      <c r="BX54" s="6"/>
    </row>
    <row r="55" spans="1:76" hidden="1" x14ac:dyDescent="0.2">
      <c r="A55" s="172" t="s">
        <v>36</v>
      </c>
      <c r="B55" s="146"/>
      <c r="C55" s="30"/>
      <c r="D55" s="30"/>
      <c r="E55" s="31"/>
      <c r="F55" s="30"/>
      <c r="G55" s="30"/>
      <c r="H55" s="30"/>
      <c r="I55" s="30"/>
      <c r="J55" s="30"/>
      <c r="K55" s="30"/>
      <c r="L55" s="32"/>
      <c r="M55" s="32"/>
      <c r="N55" s="147"/>
      <c r="O55" s="143">
        <f>SUM(K3:K58)-SUM(Q55:BJ55)</f>
        <v>-6372</v>
      </c>
      <c r="P55" s="141">
        <f t="shared" ref="P55:AT55" si="18">DSUM($D$2:$BJ$51,$K$2,P61:P62)</f>
        <v>705</v>
      </c>
      <c r="Q55" s="141">
        <f t="shared" si="18"/>
        <v>0</v>
      </c>
      <c r="R55" s="141">
        <f t="shared" si="18"/>
        <v>705</v>
      </c>
      <c r="S55" s="141">
        <f t="shared" si="18"/>
        <v>0</v>
      </c>
      <c r="T55" s="141">
        <f t="shared" si="18"/>
        <v>0</v>
      </c>
      <c r="U55" s="141">
        <f t="shared" si="18"/>
        <v>0</v>
      </c>
      <c r="V55" s="141">
        <f t="shared" si="18"/>
        <v>0</v>
      </c>
      <c r="W55" s="141">
        <f t="shared" si="18"/>
        <v>0</v>
      </c>
      <c r="X55" s="141">
        <f t="shared" si="18"/>
        <v>705</v>
      </c>
      <c r="Y55" s="141">
        <f t="shared" si="18"/>
        <v>0</v>
      </c>
      <c r="Z55" s="141">
        <f t="shared" si="18"/>
        <v>705</v>
      </c>
      <c r="AA55" s="141">
        <f t="shared" si="18"/>
        <v>0</v>
      </c>
      <c r="AB55" s="141">
        <f t="shared" si="18"/>
        <v>0</v>
      </c>
      <c r="AC55" s="141">
        <f t="shared" si="18"/>
        <v>705</v>
      </c>
      <c r="AD55" s="141">
        <f t="shared" si="18"/>
        <v>0</v>
      </c>
      <c r="AE55" s="141">
        <f t="shared" si="18"/>
        <v>705</v>
      </c>
      <c r="AF55" s="141">
        <f t="shared" si="18"/>
        <v>705</v>
      </c>
      <c r="AG55" s="141">
        <f t="shared" si="18"/>
        <v>0</v>
      </c>
      <c r="AH55" s="141">
        <f t="shared" si="18"/>
        <v>0</v>
      </c>
      <c r="AI55" s="141">
        <f t="shared" si="18"/>
        <v>705</v>
      </c>
      <c r="AJ55" s="141">
        <f t="shared" si="18"/>
        <v>705</v>
      </c>
      <c r="AK55" s="141">
        <f t="shared" si="18"/>
        <v>705</v>
      </c>
      <c r="AL55" s="141">
        <f t="shared" si="18"/>
        <v>0</v>
      </c>
      <c r="AM55" s="141">
        <f t="shared" si="18"/>
        <v>0</v>
      </c>
      <c r="AN55" s="141">
        <f t="shared" si="18"/>
        <v>705</v>
      </c>
      <c r="AO55" s="141">
        <f t="shared" si="18"/>
        <v>0</v>
      </c>
      <c r="AP55" s="141">
        <f t="shared" si="18"/>
        <v>0</v>
      </c>
      <c r="AQ55" s="141">
        <f t="shared" si="18"/>
        <v>0</v>
      </c>
      <c r="AR55" s="141">
        <f t="shared" si="18"/>
        <v>0</v>
      </c>
      <c r="AS55" s="141">
        <f t="shared" si="18"/>
        <v>0</v>
      </c>
      <c r="AT55" s="141">
        <f t="shared" si="18"/>
        <v>0</v>
      </c>
      <c r="AU55" s="143">
        <f t="shared" si="11"/>
        <v>13</v>
      </c>
      <c r="AV55" s="143"/>
      <c r="AW55" s="143"/>
      <c r="AX55" s="143">
        <f t="shared" si="12"/>
        <v>0</v>
      </c>
      <c r="AY55" s="143"/>
      <c r="AZ55" s="143"/>
      <c r="BA55" s="143">
        <f t="shared" si="13"/>
        <v>0</v>
      </c>
      <c r="BB55" s="143">
        <f t="shared" si="14"/>
        <v>6</v>
      </c>
      <c r="BC55" s="143"/>
      <c r="BD55" s="143"/>
      <c r="BE55" s="143"/>
      <c r="BF55" s="143"/>
      <c r="BG55" s="143"/>
      <c r="BH55" s="143">
        <f t="shared" si="15"/>
        <v>0</v>
      </c>
      <c r="BI55" s="143"/>
      <c r="BJ55" s="143">
        <f t="shared" si="16"/>
        <v>8</v>
      </c>
      <c r="BK55" s="143">
        <f t="shared" si="16"/>
        <v>6</v>
      </c>
      <c r="BL55" s="141">
        <f>DSUM($D$2:$BL$48,$K$2,BL61:BL62)</f>
        <v>0</v>
      </c>
      <c r="BM55" s="139"/>
      <c r="BN55" s="158"/>
      <c r="BO55" s="6"/>
      <c r="BP55" s="6"/>
      <c r="BQ55" s="6"/>
      <c r="BR55" s="6"/>
      <c r="BS55" s="6"/>
      <c r="BT55" s="6"/>
      <c r="BU55" s="6"/>
      <c r="BV55" s="6"/>
      <c r="BW55" s="6"/>
      <c r="BX55" s="6"/>
    </row>
    <row r="56" spans="1:76" hidden="1" x14ac:dyDescent="0.2">
      <c r="A56" s="172" t="s">
        <v>138</v>
      </c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4"/>
      <c r="O56" s="145" t="e">
        <f>O53+O54+O55</f>
        <v>#VALUE!</v>
      </c>
      <c r="P56" s="142" t="e">
        <f>P53+P54+P55</f>
        <v>#VALUE!</v>
      </c>
      <c r="Q56" s="142" t="e">
        <f>Q53+Q54+Q55</f>
        <v>#VALUE!</v>
      </c>
      <c r="R56" s="142" t="e">
        <f>R53+R54+R55</f>
        <v>#VALUE!</v>
      </c>
      <c r="S56" s="142" t="e">
        <f t="shared" ref="S56:AT56" si="19">S53+S54+S55</f>
        <v>#VALUE!</v>
      </c>
      <c r="T56" s="142" t="e">
        <f t="shared" si="19"/>
        <v>#VALUE!</v>
      </c>
      <c r="U56" s="142" t="e">
        <f t="shared" si="19"/>
        <v>#VALUE!</v>
      </c>
      <c r="V56" s="142" t="e">
        <f t="shared" si="19"/>
        <v>#VALUE!</v>
      </c>
      <c r="W56" s="142" t="e">
        <f t="shared" si="19"/>
        <v>#VALUE!</v>
      </c>
      <c r="X56" s="142" t="e">
        <f t="shared" si="19"/>
        <v>#VALUE!</v>
      </c>
      <c r="Y56" s="142" t="e">
        <f t="shared" si="19"/>
        <v>#VALUE!</v>
      </c>
      <c r="Z56" s="142" t="e">
        <f t="shared" si="19"/>
        <v>#VALUE!</v>
      </c>
      <c r="AA56" s="142" t="e">
        <f t="shared" si="19"/>
        <v>#VALUE!</v>
      </c>
      <c r="AB56" s="142" t="e">
        <f t="shared" si="19"/>
        <v>#VALUE!</v>
      </c>
      <c r="AC56" s="142" t="e">
        <f t="shared" si="19"/>
        <v>#VALUE!</v>
      </c>
      <c r="AD56" s="142" t="e">
        <f t="shared" si="19"/>
        <v>#VALUE!</v>
      </c>
      <c r="AE56" s="142" t="e">
        <f t="shared" si="19"/>
        <v>#VALUE!</v>
      </c>
      <c r="AF56" s="142" t="e">
        <f t="shared" si="19"/>
        <v>#VALUE!</v>
      </c>
      <c r="AG56" s="142" t="e">
        <f t="shared" si="19"/>
        <v>#VALUE!</v>
      </c>
      <c r="AH56" s="142" t="e">
        <f t="shared" si="19"/>
        <v>#VALUE!</v>
      </c>
      <c r="AI56" s="142" t="e">
        <f t="shared" si="19"/>
        <v>#VALUE!</v>
      </c>
      <c r="AJ56" s="142" t="e">
        <f t="shared" si="19"/>
        <v>#VALUE!</v>
      </c>
      <c r="AK56" s="142" t="e">
        <f t="shared" si="19"/>
        <v>#VALUE!</v>
      </c>
      <c r="AL56" s="142" t="e">
        <f t="shared" si="19"/>
        <v>#VALUE!</v>
      </c>
      <c r="AM56" s="142" t="e">
        <f t="shared" si="19"/>
        <v>#VALUE!</v>
      </c>
      <c r="AN56" s="142" t="e">
        <f t="shared" si="19"/>
        <v>#VALUE!</v>
      </c>
      <c r="AO56" s="142" t="e">
        <f t="shared" si="19"/>
        <v>#VALUE!</v>
      </c>
      <c r="AP56" s="142" t="e">
        <f t="shared" si="19"/>
        <v>#VALUE!</v>
      </c>
      <c r="AQ56" s="142" t="e">
        <f t="shared" si="19"/>
        <v>#VALUE!</v>
      </c>
      <c r="AR56" s="142" t="e">
        <f t="shared" si="19"/>
        <v>#VALUE!</v>
      </c>
      <c r="AS56" s="142" t="e">
        <f t="shared" si="19"/>
        <v>#VALUE!</v>
      </c>
      <c r="AT56" s="142" t="e">
        <f t="shared" si="19"/>
        <v>#VALUE!</v>
      </c>
      <c r="AU56" s="143">
        <f t="shared" si="11"/>
        <v>21</v>
      </c>
      <c r="AV56" s="143"/>
      <c r="AW56" s="143"/>
      <c r="AX56" s="143">
        <f t="shared" si="12"/>
        <v>0</v>
      </c>
      <c r="AY56" s="143"/>
      <c r="AZ56" s="143"/>
      <c r="BA56" s="143">
        <f t="shared" si="13"/>
        <v>0</v>
      </c>
      <c r="BB56" s="143">
        <f t="shared" si="14"/>
        <v>9</v>
      </c>
      <c r="BC56" s="143"/>
      <c r="BD56" s="143"/>
      <c r="BE56" s="143"/>
      <c r="BF56" s="143"/>
      <c r="BG56" s="143"/>
      <c r="BH56" s="143">
        <f t="shared" si="15"/>
        <v>0</v>
      </c>
      <c r="BI56" s="143"/>
      <c r="BJ56" s="143">
        <f t="shared" si="16"/>
        <v>14</v>
      </c>
      <c r="BK56" s="143">
        <f t="shared" si="16"/>
        <v>10</v>
      </c>
      <c r="BL56" s="142" t="e">
        <f t="shared" ref="BL56" si="20">SUM(BL53:BL55)</f>
        <v>#VALUE!</v>
      </c>
      <c r="BM56" s="140"/>
      <c r="BN56" s="158"/>
      <c r="BO56" s="6"/>
      <c r="BP56" s="6"/>
      <c r="BQ56" s="6"/>
      <c r="BR56" s="6"/>
      <c r="BS56" s="6"/>
      <c r="BT56" s="6"/>
      <c r="BU56" s="6"/>
      <c r="BV56" s="6"/>
      <c r="BW56" s="6"/>
      <c r="BX56" s="6"/>
    </row>
    <row r="57" spans="1:76" hidden="1" x14ac:dyDescent="0.2">
      <c r="A57" s="172" t="s">
        <v>139</v>
      </c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4"/>
      <c r="O57" s="145" t="e">
        <f>O56/8</f>
        <v>#VALUE!</v>
      </c>
      <c r="P57" s="142" t="e">
        <f t="shared" ref="P57" si="21">P56/8</f>
        <v>#VALUE!</v>
      </c>
      <c r="Q57" s="142" t="e">
        <f t="shared" ref="Q57" si="22">Q56/8</f>
        <v>#VALUE!</v>
      </c>
      <c r="R57" s="142" t="e">
        <f t="shared" ref="R57:AT57" si="23">R56/8</f>
        <v>#VALUE!</v>
      </c>
      <c r="S57" s="142" t="e">
        <f t="shared" si="23"/>
        <v>#VALUE!</v>
      </c>
      <c r="T57" s="142" t="e">
        <f t="shared" si="23"/>
        <v>#VALUE!</v>
      </c>
      <c r="U57" s="142" t="e">
        <f t="shared" si="23"/>
        <v>#VALUE!</v>
      </c>
      <c r="V57" s="142" t="e">
        <f t="shared" si="23"/>
        <v>#VALUE!</v>
      </c>
      <c r="W57" s="142" t="e">
        <f t="shared" si="23"/>
        <v>#VALUE!</v>
      </c>
      <c r="X57" s="142" t="e">
        <f t="shared" si="23"/>
        <v>#VALUE!</v>
      </c>
      <c r="Y57" s="142" t="e">
        <f t="shared" si="23"/>
        <v>#VALUE!</v>
      </c>
      <c r="Z57" s="142" t="e">
        <f t="shared" si="23"/>
        <v>#VALUE!</v>
      </c>
      <c r="AA57" s="142" t="e">
        <f t="shared" si="23"/>
        <v>#VALUE!</v>
      </c>
      <c r="AB57" s="142" t="e">
        <f t="shared" si="23"/>
        <v>#VALUE!</v>
      </c>
      <c r="AC57" s="142" t="e">
        <f t="shared" si="23"/>
        <v>#VALUE!</v>
      </c>
      <c r="AD57" s="142" t="e">
        <f t="shared" si="23"/>
        <v>#VALUE!</v>
      </c>
      <c r="AE57" s="142" t="e">
        <f t="shared" si="23"/>
        <v>#VALUE!</v>
      </c>
      <c r="AF57" s="142" t="e">
        <f t="shared" si="23"/>
        <v>#VALUE!</v>
      </c>
      <c r="AG57" s="142" t="e">
        <f t="shared" si="23"/>
        <v>#VALUE!</v>
      </c>
      <c r="AH57" s="142" t="e">
        <f t="shared" si="23"/>
        <v>#VALUE!</v>
      </c>
      <c r="AI57" s="142" t="e">
        <f t="shared" si="23"/>
        <v>#VALUE!</v>
      </c>
      <c r="AJ57" s="142" t="e">
        <f t="shared" si="23"/>
        <v>#VALUE!</v>
      </c>
      <c r="AK57" s="142" t="e">
        <f t="shared" si="23"/>
        <v>#VALUE!</v>
      </c>
      <c r="AL57" s="142" t="e">
        <f t="shared" si="23"/>
        <v>#VALUE!</v>
      </c>
      <c r="AM57" s="142" t="e">
        <f t="shared" si="23"/>
        <v>#VALUE!</v>
      </c>
      <c r="AN57" s="142" t="e">
        <f t="shared" si="23"/>
        <v>#VALUE!</v>
      </c>
      <c r="AO57" s="142" t="e">
        <f t="shared" si="23"/>
        <v>#VALUE!</v>
      </c>
      <c r="AP57" s="142" t="e">
        <f t="shared" si="23"/>
        <v>#VALUE!</v>
      </c>
      <c r="AQ57" s="142" t="e">
        <f t="shared" si="23"/>
        <v>#VALUE!</v>
      </c>
      <c r="AR57" s="142" t="e">
        <f t="shared" si="23"/>
        <v>#VALUE!</v>
      </c>
      <c r="AS57" s="142" t="e">
        <f t="shared" si="23"/>
        <v>#VALUE!</v>
      </c>
      <c r="AT57" s="142" t="e">
        <f t="shared" si="23"/>
        <v>#VALUE!</v>
      </c>
      <c r="AU57" s="143">
        <f t="shared" si="11"/>
        <v>34</v>
      </c>
      <c r="AV57" s="143"/>
      <c r="AW57" s="143"/>
      <c r="AX57" s="143">
        <f t="shared" si="12"/>
        <v>0</v>
      </c>
      <c r="AY57" s="143"/>
      <c r="AZ57" s="143"/>
      <c r="BA57" s="143">
        <f t="shared" si="13"/>
        <v>0</v>
      </c>
      <c r="BB57" s="143">
        <f t="shared" si="14"/>
        <v>15</v>
      </c>
      <c r="BC57" s="143"/>
      <c r="BD57" s="143"/>
      <c r="BE57" s="143"/>
      <c r="BF57" s="143"/>
      <c r="BG57" s="143"/>
      <c r="BH57" s="143">
        <f t="shared" si="15"/>
        <v>0</v>
      </c>
      <c r="BI57" s="143"/>
      <c r="BJ57" s="143">
        <f t="shared" si="16"/>
        <v>22</v>
      </c>
      <c r="BK57" s="143">
        <f t="shared" si="16"/>
        <v>16</v>
      </c>
      <c r="BL57" s="142"/>
      <c r="BM57" s="140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</row>
    <row r="58" spans="1:76" hidden="1" x14ac:dyDescent="0.2">
      <c r="A58" s="171" t="s">
        <v>140</v>
      </c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70"/>
      <c r="O58" s="145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3">
        <f t="shared" si="11"/>
        <v>55</v>
      </c>
      <c r="AV58" s="143"/>
      <c r="AW58" s="143"/>
      <c r="AX58" s="143">
        <f t="shared" si="12"/>
        <v>0</v>
      </c>
      <c r="AY58" s="143"/>
      <c r="AZ58" s="143"/>
      <c r="BA58" s="143">
        <f t="shared" si="13"/>
        <v>0</v>
      </c>
      <c r="BB58" s="143">
        <f t="shared" si="14"/>
        <v>24</v>
      </c>
      <c r="BC58" s="143"/>
      <c r="BD58" s="143"/>
      <c r="BE58" s="143"/>
      <c r="BF58" s="143"/>
      <c r="BG58" s="143"/>
      <c r="BH58" s="143">
        <f t="shared" si="15"/>
        <v>0</v>
      </c>
      <c r="BI58" s="143"/>
      <c r="BJ58" s="143">
        <f t="shared" si="16"/>
        <v>36</v>
      </c>
      <c r="BK58" s="143">
        <f t="shared" si="16"/>
        <v>26</v>
      </c>
      <c r="BL58" s="142"/>
      <c r="BM58" s="140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</row>
    <row r="59" spans="1:76" hidden="1" x14ac:dyDescent="0.2">
      <c r="A59" s="171" t="s">
        <v>141</v>
      </c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70"/>
      <c r="O59" s="145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3">
        <f t="shared" si="11"/>
        <v>89</v>
      </c>
      <c r="AV59" s="143"/>
      <c r="AW59" s="143"/>
      <c r="AX59" s="143">
        <f t="shared" si="12"/>
        <v>0</v>
      </c>
      <c r="AY59" s="143"/>
      <c r="AZ59" s="143"/>
      <c r="BA59" s="143">
        <f t="shared" si="13"/>
        <v>0</v>
      </c>
      <c r="BB59" s="143">
        <f t="shared" si="14"/>
        <v>39</v>
      </c>
      <c r="BC59" s="143"/>
      <c r="BD59" s="143"/>
      <c r="BE59" s="143"/>
      <c r="BF59" s="143"/>
      <c r="BG59" s="143"/>
      <c r="BH59" s="143">
        <f t="shared" si="15"/>
        <v>0</v>
      </c>
      <c r="BI59" s="143"/>
      <c r="BJ59" s="143">
        <f t="shared" si="16"/>
        <v>58</v>
      </c>
      <c r="BK59" s="143">
        <f t="shared" si="16"/>
        <v>42</v>
      </c>
      <c r="BL59" s="142"/>
      <c r="BM59" s="140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</row>
    <row r="60" spans="1:76" hidden="1" x14ac:dyDescent="0.2">
      <c r="A60" s="171" t="s">
        <v>142</v>
      </c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70"/>
      <c r="O60" s="145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3">
        <f t="shared" si="11"/>
        <v>144</v>
      </c>
      <c r="AV60" s="143"/>
      <c r="AW60" s="143"/>
      <c r="AX60" s="143">
        <f t="shared" si="12"/>
        <v>0</v>
      </c>
      <c r="AY60" s="143"/>
      <c r="AZ60" s="143"/>
      <c r="BA60" s="143">
        <f t="shared" si="13"/>
        <v>0</v>
      </c>
      <c r="BB60" s="143">
        <f t="shared" si="14"/>
        <v>63</v>
      </c>
      <c r="BC60" s="143"/>
      <c r="BD60" s="143"/>
      <c r="BE60" s="143"/>
      <c r="BF60" s="143"/>
      <c r="BG60" s="143"/>
      <c r="BH60" s="143">
        <f t="shared" si="15"/>
        <v>0</v>
      </c>
      <c r="BI60" s="143"/>
      <c r="BJ60" s="143">
        <f t="shared" si="16"/>
        <v>94</v>
      </c>
      <c r="BK60" s="143">
        <f t="shared" si="16"/>
        <v>68</v>
      </c>
      <c r="BL60" s="142"/>
      <c r="BM60" s="140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</row>
    <row r="61" spans="1:76" hidden="1" x14ac:dyDescent="0.2">
      <c r="A61" s="148"/>
      <c r="B61" s="149"/>
      <c r="C61" s="134"/>
      <c r="D61" s="134"/>
      <c r="E61" s="135"/>
      <c r="F61" s="134"/>
      <c r="G61" s="134"/>
      <c r="H61" s="134"/>
      <c r="I61" s="134"/>
      <c r="J61" s="134"/>
      <c r="K61" s="134"/>
      <c r="L61" s="136"/>
      <c r="M61" s="136"/>
      <c r="N61" s="152"/>
      <c r="O61" s="144" t="s">
        <v>37</v>
      </c>
      <c r="P61" s="139" t="str">
        <f t="shared" ref="P61:AT61" si="24">P2</f>
        <v>Lbe</v>
      </c>
      <c r="Q61" s="139" t="str">
        <f t="shared" si="24"/>
        <v>LB</v>
      </c>
      <c r="R61" s="139" t="str">
        <f t="shared" si="24"/>
        <v>Sca</v>
      </c>
      <c r="S61" s="139" t="str">
        <f t="shared" si="24"/>
        <v>TD</v>
      </c>
      <c r="T61" s="139" t="str">
        <f t="shared" si="24"/>
        <v>WvD</v>
      </c>
      <c r="U61" s="139" t="str">
        <f t="shared" si="24"/>
        <v>CE</v>
      </c>
      <c r="V61" s="139" t="str">
        <f t="shared" si="24"/>
        <v>AF</v>
      </c>
      <c r="W61" s="139" t="str">
        <f t="shared" si="24"/>
        <v>WG</v>
      </c>
      <c r="X61" s="139" t="str">
        <f t="shared" si="24"/>
        <v>TG</v>
      </c>
      <c r="Y61" s="139" t="str">
        <f t="shared" si="24"/>
        <v>RH</v>
      </c>
      <c r="Z61" s="139" t="str">
        <f t="shared" si="24"/>
        <v>CH</v>
      </c>
      <c r="AA61" s="139" t="str">
        <f t="shared" si="24"/>
        <v>KH</v>
      </c>
      <c r="AB61" s="139" t="str">
        <f t="shared" si="24"/>
        <v>MH</v>
      </c>
      <c r="AC61" s="139" t="str">
        <f t="shared" si="24"/>
        <v>MK</v>
      </c>
      <c r="AD61" s="139" t="str">
        <f t="shared" si="24"/>
        <v>VL</v>
      </c>
      <c r="AE61" s="139" t="str">
        <f t="shared" si="24"/>
        <v>EM</v>
      </c>
      <c r="AF61" s="139" t="str">
        <f t="shared" si="24"/>
        <v>DM</v>
      </c>
      <c r="AG61" s="139" t="str">
        <f t="shared" si="24"/>
        <v>JM</v>
      </c>
      <c r="AH61" s="139" t="str">
        <f t="shared" si="24"/>
        <v>UM</v>
      </c>
      <c r="AI61" s="139" t="str">
        <f t="shared" si="24"/>
        <v>AO</v>
      </c>
      <c r="AJ61" s="139" t="str">
        <f t="shared" si="24"/>
        <v>JvP</v>
      </c>
      <c r="AK61" s="139" t="str">
        <f t="shared" si="24"/>
        <v>CR</v>
      </c>
      <c r="AL61" s="139" t="str">
        <f t="shared" si="24"/>
        <v>IR</v>
      </c>
      <c r="AM61" s="139" t="str">
        <f t="shared" si="24"/>
        <v>JS</v>
      </c>
      <c r="AN61" s="139" t="str">
        <f t="shared" si="24"/>
        <v>BS</v>
      </c>
      <c r="AO61" s="139" t="str">
        <f t="shared" si="24"/>
        <v>MS</v>
      </c>
      <c r="AP61" s="139" t="str">
        <f t="shared" si="24"/>
        <v>PV</v>
      </c>
      <c r="AQ61" s="139" t="str">
        <f t="shared" si="24"/>
        <v>DV</v>
      </c>
      <c r="AR61" s="139" t="str">
        <f t="shared" si="24"/>
        <v>JW</v>
      </c>
      <c r="AS61" s="139" t="str">
        <f t="shared" si="24"/>
        <v>AW</v>
      </c>
      <c r="AT61" s="139" t="str">
        <f t="shared" si="24"/>
        <v>CYPL</v>
      </c>
      <c r="AU61" s="139" t="s">
        <v>37</v>
      </c>
      <c r="AV61" s="139"/>
      <c r="AW61" s="139"/>
      <c r="AX61" s="139" t="s">
        <v>37</v>
      </c>
      <c r="AY61" s="139"/>
      <c r="AZ61" s="139"/>
      <c r="BA61" s="139" t="s">
        <v>37</v>
      </c>
      <c r="BB61" s="139" t="s">
        <v>37</v>
      </c>
      <c r="BC61" s="139"/>
      <c r="BD61" s="139"/>
      <c r="BE61" s="139"/>
      <c r="BF61" s="139"/>
      <c r="BG61" s="139"/>
      <c r="BH61" s="139" t="s">
        <v>37</v>
      </c>
      <c r="BI61" s="139"/>
      <c r="BJ61" s="139" t="s">
        <v>37</v>
      </c>
      <c r="BK61" s="139" t="s">
        <v>37</v>
      </c>
      <c r="BL61" s="139" t="s">
        <v>37</v>
      </c>
      <c r="BM61" s="139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</row>
    <row r="62" spans="1:76" hidden="1" x14ac:dyDescent="0.2">
      <c r="A62" s="155"/>
      <c r="B62" s="156"/>
      <c r="C62" s="117"/>
      <c r="D62" s="117"/>
      <c r="E62" s="137"/>
      <c r="F62" s="117"/>
      <c r="G62" s="117"/>
      <c r="H62" s="117"/>
      <c r="I62" s="117"/>
      <c r="J62" s="117"/>
      <c r="K62" s="117"/>
      <c r="L62" s="138"/>
      <c r="M62" s="138"/>
      <c r="N62" s="157"/>
      <c r="O62" s="144" t="str">
        <f>O2</f>
        <v>FAC</v>
      </c>
      <c r="P62" s="144"/>
      <c r="Q62" s="139" t="s">
        <v>5</v>
      </c>
      <c r="R62" s="139"/>
      <c r="S62" s="139" t="s">
        <v>147</v>
      </c>
      <c r="T62" s="139" t="s">
        <v>69</v>
      </c>
      <c r="U62" s="139" t="s">
        <v>13</v>
      </c>
      <c r="V62" s="139" t="s">
        <v>14</v>
      </c>
      <c r="W62" s="139" t="s">
        <v>102</v>
      </c>
      <c r="X62" s="139"/>
      <c r="Y62" s="139" t="s">
        <v>127</v>
      </c>
      <c r="Z62" s="139"/>
      <c r="AA62" s="139" t="s">
        <v>12</v>
      </c>
      <c r="AB62" s="139" t="s">
        <v>76</v>
      </c>
      <c r="AC62" s="139"/>
      <c r="AD62" s="139" t="s">
        <v>63</v>
      </c>
      <c r="AE62" s="139"/>
      <c r="AF62" s="139"/>
      <c r="AG62" s="139" t="s">
        <v>78</v>
      </c>
      <c r="AH62" s="139" t="s">
        <v>70</v>
      </c>
      <c r="AI62" s="139"/>
      <c r="AJ62" s="139"/>
      <c r="AK62" s="139"/>
      <c r="AL62" s="139" t="s">
        <v>77</v>
      </c>
      <c r="AM62" s="139" t="s">
        <v>100</v>
      </c>
      <c r="AN62" s="139"/>
      <c r="AO62" s="139" t="s">
        <v>29</v>
      </c>
      <c r="AP62" s="139" t="s">
        <v>146</v>
      </c>
      <c r="AQ62" s="139" t="s">
        <v>62</v>
      </c>
      <c r="AR62" s="139" t="s">
        <v>35</v>
      </c>
      <c r="AS62" s="139" t="s">
        <v>75</v>
      </c>
      <c r="AT62" s="139" t="s">
        <v>128</v>
      </c>
      <c r="AU62" s="139" t="str">
        <f>AU2</f>
        <v>JB/OBP</v>
      </c>
      <c r="AV62" s="139"/>
      <c r="AW62" s="139"/>
      <c r="AX62" s="139" t="str">
        <f>AX2</f>
        <v>XT/D4</v>
      </c>
      <c r="AY62" s="139"/>
      <c r="AZ62" s="139"/>
      <c r="BA62" s="139" t="str">
        <f>BA2</f>
        <v>CG/D4</v>
      </c>
      <c r="BB62" s="139" t="e">
        <f>#REF!</f>
        <v>#REF!</v>
      </c>
      <c r="BC62" s="139"/>
      <c r="BD62" s="139"/>
      <c r="BE62" s="139"/>
      <c r="BF62" s="139"/>
      <c r="BG62" s="139"/>
      <c r="BH62" s="139" t="str">
        <f t="shared" ref="BH62:BL62" si="25">BH2</f>
        <v>KK/D4</v>
      </c>
      <c r="BI62" s="139"/>
      <c r="BJ62" s="139" t="str">
        <f t="shared" si="25"/>
        <v>JvZ/D4</v>
      </c>
      <c r="BK62" s="139" t="str">
        <f t="shared" si="25"/>
        <v>WOS/OBP</v>
      </c>
      <c r="BL62" s="139" t="str">
        <f t="shared" si="25"/>
        <v>Total</v>
      </c>
      <c r="BM62" s="139"/>
      <c r="BN62" s="6"/>
    </row>
    <row r="63" spans="1:76" hidden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BN63" s="6"/>
    </row>
    <row r="64" spans="1:76" hidden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BN64" s="6"/>
    </row>
    <row r="65" spans="1:66" ht="13.2" x14ac:dyDescent="0.25">
      <c r="I65" s="102"/>
      <c r="BN65" s="6"/>
    </row>
    <row r="66" spans="1:66" ht="13.2" x14ac:dyDescent="0.25">
      <c r="A66" s="103" t="s">
        <v>27</v>
      </c>
      <c r="I66" s="102"/>
    </row>
    <row r="67" spans="1:66" ht="13.2" x14ac:dyDescent="0.25">
      <c r="A67" s="104" t="s">
        <v>0</v>
      </c>
      <c r="I67" s="102"/>
    </row>
    <row r="68" spans="1:66" ht="13.2" x14ac:dyDescent="0.25">
      <c r="A68" s="105" t="s">
        <v>28</v>
      </c>
      <c r="I68" s="102"/>
    </row>
  </sheetData>
  <autoFilter ref="A3:BX3"/>
  <sortState ref="A1:BY73">
    <sortCondition ref="A4:A55"/>
  </sortState>
  <mergeCells count="1">
    <mergeCell ref="AU1:BK1"/>
  </mergeCells>
  <phoneticPr fontId="4" type="noConversion"/>
  <conditionalFormatting sqref="BN5">
    <cfRule type="containsText" dxfId="11" priority="7" operator="containsText" text="Oke">
      <formula>NOT(ISERROR(SEARCH("Oke",BN5)))</formula>
    </cfRule>
    <cfRule type="containsText" dxfId="10" priority="8" operator="containsText" text="Problem">
      <formula>NOT(ISERROR(SEARCH("Problem",BN5)))</formula>
    </cfRule>
    <cfRule type="colorScale" priority="9">
      <colorScale>
        <cfvo type="formula" val="$BN$5"/>
        <cfvo type="max"/>
        <color rgb="FF00B050"/>
        <color rgb="FFFF0000"/>
      </colorScale>
    </cfRule>
  </conditionalFormatting>
  <conditionalFormatting sqref="BN5:BN51">
    <cfRule type="containsText" dxfId="9" priority="5" operator="containsText" text="Oke">
      <formula>NOT(ISERROR(SEARCH("Oke",BN5)))</formula>
    </cfRule>
    <cfRule type="containsText" dxfId="8" priority="6" operator="containsText" text="Problem">
      <formula>NOT(ISERROR(SEARCH("Problem",BN5)))</formula>
    </cfRule>
  </conditionalFormatting>
  <conditionalFormatting sqref="BO5">
    <cfRule type="containsText" dxfId="7" priority="1" operator="containsText" text="Oke">
      <formula>NOT(ISERROR(SEARCH("Oke",BO5)))</formula>
    </cfRule>
    <cfRule type="containsText" dxfId="6" priority="2" operator="containsText" text="Problem">
      <formula>NOT(ISERROR(SEARCH("Problem",BO5)))</formula>
    </cfRule>
  </conditionalFormatting>
  <pageMargins left="0.35433070866141736" right="0.35433070866141736" top="0.39370078740157483" bottom="0.39370078740157483" header="0.51181102362204722" footer="0.51181102362204722"/>
  <pageSetup paperSize="8" scale="62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BX66"/>
  <sheetViews>
    <sheetView zoomScaleNormal="100" workbookViewId="0">
      <pane xSplit="13" topLeftCell="AP1" activePane="topRight" state="frozen"/>
      <selection pane="topRight" activeCell="AZ54" sqref="AZ54"/>
    </sheetView>
  </sheetViews>
  <sheetFormatPr defaultColWidth="8.88671875" defaultRowHeight="10.199999999999999" x14ac:dyDescent="0.2"/>
  <cols>
    <col min="1" max="1" width="9.5546875" style="1" customWidth="1"/>
    <col min="2" max="2" width="30.88671875" style="128" customWidth="1"/>
    <col min="3" max="3" width="10" style="1" customWidth="1"/>
    <col min="4" max="4" width="24.5546875" style="1" bestFit="1" customWidth="1"/>
    <col min="5" max="5" width="4.88671875" style="2" customWidth="1"/>
    <col min="6" max="6" width="4.44140625" style="1" customWidth="1"/>
    <col min="7" max="7" width="4.88671875" style="1" customWidth="1"/>
    <col min="8" max="8" width="6.44140625" style="1" customWidth="1"/>
    <col min="9" max="9" width="4.88671875" style="1" customWidth="1"/>
    <col min="10" max="10" width="4.5546875" style="1" customWidth="1"/>
    <col min="11" max="11" width="6.44140625" style="1" customWidth="1"/>
    <col min="12" max="13" width="8.44140625" style="3" customWidth="1"/>
    <col min="14" max="14" width="8.109375" style="1" customWidth="1"/>
    <col min="15" max="15" width="4.5546875" style="4" customWidth="1"/>
    <col min="16" max="16" width="4.33203125" style="4" customWidth="1"/>
    <col min="17" max="17" width="3.109375" style="4" customWidth="1"/>
    <col min="18" max="18" width="4.33203125" style="4" customWidth="1"/>
    <col min="19" max="19" width="3.44140625" style="4" customWidth="1"/>
    <col min="20" max="20" width="5.109375" style="4" customWidth="1"/>
    <col min="21" max="21" width="3.33203125" style="4" customWidth="1"/>
    <col min="22" max="22" width="3.44140625" style="4" customWidth="1"/>
    <col min="23" max="23" width="4" style="4" customWidth="1"/>
    <col min="24" max="26" width="3.44140625" style="4" customWidth="1"/>
    <col min="27" max="27" width="3.44140625" style="5" customWidth="1"/>
    <col min="28" max="28" width="3.6640625" style="4" customWidth="1"/>
    <col min="29" max="29" width="3.5546875" style="4" customWidth="1"/>
    <col min="30" max="30" width="3.109375" style="4" customWidth="1"/>
    <col min="31" max="31" width="3.5546875" style="4" customWidth="1"/>
    <col min="32" max="32" width="3.6640625" style="4" customWidth="1"/>
    <col min="33" max="33" width="3.33203125" style="4" customWidth="1"/>
    <col min="34" max="34" width="3.6640625" style="4" customWidth="1"/>
    <col min="35" max="35" width="3.5546875" style="4" customWidth="1"/>
    <col min="36" max="36" width="4.109375" style="4" customWidth="1"/>
    <col min="37" max="37" width="3.44140625" style="4" customWidth="1"/>
    <col min="38" max="38" width="3" style="4" customWidth="1"/>
    <col min="39" max="39" width="3" style="5" customWidth="1"/>
    <col min="40" max="40" width="3.33203125" style="5" customWidth="1"/>
    <col min="41" max="41" width="3.5546875" style="5" customWidth="1"/>
    <col min="42" max="42" width="3.33203125" style="5" customWidth="1"/>
    <col min="43" max="43" width="3.44140625" style="5" customWidth="1"/>
    <col min="44" max="44" width="3.5546875" style="4" customWidth="1"/>
    <col min="45" max="45" width="4" style="4" customWidth="1"/>
    <col min="46" max="46" width="5.44140625" style="4" customWidth="1"/>
    <col min="47" max="47" width="7.6640625" style="5" bestFit="1" customWidth="1"/>
    <col min="48" max="48" width="6.88671875" style="5" bestFit="1" customWidth="1"/>
    <col min="49" max="49" width="8" style="5" bestFit="1" customWidth="1"/>
    <col min="50" max="50" width="6.6640625" style="5" bestFit="1" customWidth="1"/>
    <col min="51" max="51" width="8" style="5" bestFit="1" customWidth="1"/>
    <col min="52" max="52" width="8" style="5" customWidth="1"/>
    <col min="53" max="53" width="8.5546875" style="5" bestFit="1" customWidth="1"/>
    <col min="54" max="54" width="6.6640625" style="5" bestFit="1" customWidth="1"/>
    <col min="55" max="56" width="7.5546875" style="5" bestFit="1" customWidth="1"/>
    <col min="57" max="57" width="6.88671875" style="5" bestFit="1" customWidth="1"/>
    <col min="58" max="58" width="8.109375" style="5" bestFit="1" customWidth="1"/>
    <col min="59" max="59" width="7.44140625" style="5" bestFit="1" customWidth="1"/>
    <col min="60" max="60" width="6.88671875" style="5" bestFit="1" customWidth="1"/>
    <col min="61" max="61" width="8" style="5" bestFit="1" customWidth="1"/>
    <col min="62" max="62" width="7.6640625" style="5" bestFit="1" customWidth="1"/>
    <col min="63" max="63" width="9.88671875" style="5" bestFit="1" customWidth="1"/>
    <col min="64" max="64" width="6.44140625" style="5" customWidth="1"/>
    <col min="65" max="65" width="10.44140625" style="4" customWidth="1"/>
    <col min="66" max="76" width="8.88671875" style="21" customWidth="1"/>
    <col min="77" max="16384" width="8.88671875" style="6"/>
  </cols>
  <sheetData>
    <row r="1" spans="1:76" ht="12.75" customHeight="1" thickBot="1" x14ac:dyDescent="0.25">
      <c r="A1" s="7" t="s">
        <v>11</v>
      </c>
      <c r="B1" s="129"/>
      <c r="C1" s="8"/>
      <c r="D1" s="8"/>
      <c r="E1" s="9"/>
      <c r="F1" s="8"/>
      <c r="G1" s="8"/>
      <c r="H1" s="10"/>
      <c r="I1" s="77"/>
      <c r="J1" s="81"/>
      <c r="K1" s="11" t="s">
        <v>16</v>
      </c>
      <c r="L1" s="11"/>
      <c r="M1" s="11"/>
      <c r="N1" s="12"/>
      <c r="O1" s="230"/>
      <c r="P1" s="219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 t="s">
        <v>694</v>
      </c>
      <c r="AU1" s="329" t="s">
        <v>694</v>
      </c>
      <c r="AV1" s="330"/>
      <c r="AW1" s="330"/>
      <c r="AX1" s="330"/>
      <c r="AY1" s="330"/>
      <c r="AZ1" s="330"/>
      <c r="BA1" s="330"/>
      <c r="BB1" s="330"/>
      <c r="BC1" s="330"/>
      <c r="BD1" s="330"/>
      <c r="BE1" s="330"/>
      <c r="BF1" s="330"/>
      <c r="BG1" s="330"/>
      <c r="BH1" s="330"/>
      <c r="BI1" s="330"/>
      <c r="BJ1" s="330"/>
      <c r="BK1" s="331"/>
      <c r="BL1" s="262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</row>
    <row r="2" spans="1:76" ht="30.6" x14ac:dyDescent="0.2">
      <c r="A2" s="13" t="s">
        <v>82</v>
      </c>
      <c r="B2" s="130" t="s">
        <v>83</v>
      </c>
      <c r="C2" s="14" t="s">
        <v>611</v>
      </c>
      <c r="D2" s="14" t="s">
        <v>84</v>
      </c>
      <c r="E2" s="15" t="s">
        <v>32</v>
      </c>
      <c r="F2" s="16" t="s">
        <v>33</v>
      </c>
      <c r="G2" s="16" t="s">
        <v>33</v>
      </c>
      <c r="H2" s="17" t="s">
        <v>74</v>
      </c>
      <c r="I2" s="78" t="s">
        <v>55</v>
      </c>
      <c r="J2" s="164" t="s">
        <v>56</v>
      </c>
      <c r="K2" s="165" t="s">
        <v>43</v>
      </c>
      <c r="L2" s="166" t="s">
        <v>136</v>
      </c>
      <c r="M2" s="167" t="s">
        <v>137</v>
      </c>
      <c r="N2" s="168" t="s">
        <v>86</v>
      </c>
      <c r="O2" s="20" t="s">
        <v>79</v>
      </c>
      <c r="P2" s="16" t="s">
        <v>152</v>
      </c>
      <c r="Q2" s="16" t="s">
        <v>69</v>
      </c>
      <c r="R2" s="73" t="s">
        <v>145</v>
      </c>
      <c r="S2" s="16" t="s">
        <v>13</v>
      </c>
      <c r="T2" s="192" t="s">
        <v>14</v>
      </c>
      <c r="U2" s="16" t="s">
        <v>102</v>
      </c>
      <c r="V2" s="73" t="s">
        <v>129</v>
      </c>
      <c r="W2" s="16" t="s">
        <v>12</v>
      </c>
      <c r="X2" s="218" t="s">
        <v>33</v>
      </c>
      <c r="Y2" s="16" t="s">
        <v>76</v>
      </c>
      <c r="Z2" s="16" t="s">
        <v>146</v>
      </c>
      <c r="AA2" s="16" t="s">
        <v>63</v>
      </c>
      <c r="AB2" s="16" t="s">
        <v>78</v>
      </c>
      <c r="AC2" s="73" t="s">
        <v>133</v>
      </c>
      <c r="AD2" s="218" t="s">
        <v>128</v>
      </c>
      <c r="AE2" s="192" t="s">
        <v>156</v>
      </c>
      <c r="AF2" s="312" t="s">
        <v>158</v>
      </c>
      <c r="AG2" s="16" t="s">
        <v>70</v>
      </c>
      <c r="AH2" s="16" t="s">
        <v>77</v>
      </c>
      <c r="AI2" s="73" t="s">
        <v>157</v>
      </c>
      <c r="AJ2" s="73" t="s">
        <v>149</v>
      </c>
      <c r="AK2" s="73" t="s">
        <v>80</v>
      </c>
      <c r="AL2" s="16" t="s">
        <v>100</v>
      </c>
      <c r="AM2" s="218" t="s">
        <v>29</v>
      </c>
      <c r="AN2" s="16" t="s">
        <v>62</v>
      </c>
      <c r="AO2" s="16" t="s">
        <v>35</v>
      </c>
      <c r="AP2" s="16" t="s">
        <v>75</v>
      </c>
      <c r="AQ2" s="16" t="s">
        <v>127</v>
      </c>
      <c r="AR2" s="218" t="s">
        <v>147</v>
      </c>
      <c r="AS2" s="73" t="s">
        <v>101</v>
      </c>
      <c r="AT2" s="73" t="s">
        <v>148</v>
      </c>
      <c r="AU2" s="210" t="s">
        <v>679</v>
      </c>
      <c r="AV2" s="210" t="s">
        <v>680</v>
      </c>
      <c r="AW2" s="210" t="s">
        <v>681</v>
      </c>
      <c r="AX2" s="210" t="s">
        <v>722</v>
      </c>
      <c r="AY2" s="315" t="s">
        <v>682</v>
      </c>
      <c r="AZ2" s="210" t="s">
        <v>707</v>
      </c>
      <c r="BA2" s="210" t="s">
        <v>709</v>
      </c>
      <c r="BB2" s="127" t="s">
        <v>683</v>
      </c>
      <c r="BC2" s="210" t="s">
        <v>684</v>
      </c>
      <c r="BD2" s="210" t="s">
        <v>685</v>
      </c>
      <c r="BE2" s="315" t="s">
        <v>686</v>
      </c>
      <c r="BF2" s="210" t="s">
        <v>687</v>
      </c>
      <c r="BG2" s="210" t="s">
        <v>688</v>
      </c>
      <c r="BH2" s="127" t="s">
        <v>689</v>
      </c>
      <c r="BI2" s="263" t="s">
        <v>708</v>
      </c>
      <c r="BJ2" s="161" t="s">
        <v>690</v>
      </c>
      <c r="BK2" s="212" t="s">
        <v>691</v>
      </c>
      <c r="BL2" s="187" t="s">
        <v>81</v>
      </c>
      <c r="BM2" s="185" t="s">
        <v>34</v>
      </c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</row>
    <row r="3" spans="1:76" x14ac:dyDescent="0.2">
      <c r="A3" s="22"/>
      <c r="B3" s="131"/>
      <c r="C3" s="23"/>
      <c r="D3" s="23"/>
      <c r="E3" s="15"/>
      <c r="F3" s="16"/>
      <c r="G3" s="16"/>
      <c r="H3" s="17"/>
      <c r="I3" s="78"/>
      <c r="J3" s="82"/>
      <c r="K3" s="80"/>
      <c r="L3" s="18"/>
      <c r="M3" s="163"/>
      <c r="N3" s="19"/>
      <c r="O3" s="20"/>
      <c r="P3" s="20"/>
      <c r="Q3" s="20"/>
      <c r="R3" s="20"/>
      <c r="S3" s="20"/>
      <c r="T3" s="16"/>
      <c r="U3" s="16"/>
      <c r="V3" s="192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263"/>
      <c r="BJ3" s="161"/>
      <c r="BK3" s="127"/>
      <c r="BL3" s="188"/>
      <c r="BM3" s="185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</row>
    <row r="4" spans="1:76" ht="12" customHeight="1" x14ac:dyDescent="0.3">
      <c r="A4" s="203" t="s">
        <v>275</v>
      </c>
      <c r="B4" s="203" t="s">
        <v>273</v>
      </c>
      <c r="C4" s="203" t="s">
        <v>27</v>
      </c>
      <c r="D4" s="203" t="s">
        <v>710</v>
      </c>
      <c r="E4" s="208"/>
      <c r="F4" s="24">
        <f t="shared" ref="F4:F16" si="0">E4/12</f>
        <v>0</v>
      </c>
      <c r="G4" s="249">
        <f t="shared" ref="G4:G16" si="1">ROUNDUP(F4,0)</f>
        <v>0</v>
      </c>
      <c r="H4" s="101">
        <f>IF(G4=0,0,E4/G4)</f>
        <v>0</v>
      </c>
      <c r="I4" s="79"/>
      <c r="J4" s="226">
        <f>I4*2*normuren!$B$26</f>
        <v>0</v>
      </c>
      <c r="K4" s="227">
        <f>IF(G4&lt;3,normuren!$B$8,IF(AND(G4&lt;6,G4&gt;2),normuren!$B$9,IF(AND(G4&lt;9,G4&gt;5),normuren!$B$10,normuren!$B$11)))</f>
        <v>15</v>
      </c>
      <c r="L4" s="228">
        <f>normuren!$B$24*2*12</f>
        <v>36</v>
      </c>
      <c r="M4" s="228">
        <f>normuren!$B$25*2*12</f>
        <v>45.599999999999994</v>
      </c>
      <c r="N4" s="250">
        <f>normuren!$B$29</f>
        <v>1.5</v>
      </c>
      <c r="O4" s="115"/>
      <c r="P4" s="286"/>
      <c r="Q4" s="119"/>
      <c r="R4" s="119"/>
      <c r="S4" s="119"/>
      <c r="T4" s="119"/>
      <c r="U4" s="115"/>
      <c r="V4" s="115"/>
      <c r="W4" s="286"/>
      <c r="X4" s="115"/>
      <c r="Y4" s="115"/>
      <c r="Z4" s="115"/>
      <c r="AA4" s="115"/>
      <c r="AB4" s="115"/>
      <c r="AC4" s="115"/>
      <c r="AD4" s="286"/>
      <c r="AE4" s="115"/>
      <c r="AF4" s="115"/>
      <c r="AG4" s="115"/>
      <c r="AH4" s="286"/>
      <c r="AI4" s="115"/>
      <c r="AJ4" s="115"/>
      <c r="AK4" s="115"/>
      <c r="AL4" s="286"/>
      <c r="AM4" s="286"/>
      <c r="AN4" s="115"/>
      <c r="AO4" s="288" t="s">
        <v>696</v>
      </c>
      <c r="AP4" s="115"/>
      <c r="AQ4" s="286"/>
      <c r="AR4" s="306" t="s">
        <v>696</v>
      </c>
      <c r="AS4" s="288" t="s">
        <v>696</v>
      </c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62">
        <f t="shared" ref="BL4:BL16" si="2">SUM(O4:BK4)</f>
        <v>0</v>
      </c>
      <c r="BM4" s="186">
        <f t="shared" ref="BM4:BM16" si="3">G4-BL4</f>
        <v>0</v>
      </c>
      <c r="BN4" s="209" t="str">
        <f t="shared" ref="BN4:BN16" si="4">IF(BM4&gt;0,"Problem","Oke")</f>
        <v>Oke</v>
      </c>
      <c r="BO4" s="209" t="s">
        <v>712</v>
      </c>
      <c r="BP4" s="6"/>
      <c r="BQ4" s="6"/>
      <c r="BR4" s="6"/>
      <c r="BS4" s="6"/>
      <c r="BT4" s="6"/>
      <c r="BU4" s="6"/>
      <c r="BV4" s="6"/>
      <c r="BW4" s="6"/>
      <c r="BX4" s="6"/>
    </row>
    <row r="5" spans="1:76" ht="13.8" x14ac:dyDescent="0.3">
      <c r="A5" s="203" t="s">
        <v>398</v>
      </c>
      <c r="B5" s="203" t="s">
        <v>386</v>
      </c>
      <c r="C5" s="203" t="s">
        <v>27</v>
      </c>
      <c r="D5" s="203" t="s">
        <v>208</v>
      </c>
      <c r="E5" s="208"/>
      <c r="F5" s="24">
        <f t="shared" si="0"/>
        <v>0</v>
      </c>
      <c r="G5" s="249">
        <f t="shared" si="1"/>
        <v>0</v>
      </c>
      <c r="H5" s="101">
        <f>IF(G5=0,0,E5/G5)</f>
        <v>0</v>
      </c>
      <c r="I5" s="79"/>
      <c r="J5" s="226">
        <f>I5*2*normuren!$B$26</f>
        <v>0</v>
      </c>
      <c r="K5" s="227">
        <f>IF(G5&lt;3,normuren!$B$8,IF(AND(G5&lt;6,G5&gt;2),normuren!$B$9,IF(AND(G5&lt;9,G5&gt;5),normuren!$B$10,normuren!$B$11)))</f>
        <v>15</v>
      </c>
      <c r="L5" s="228">
        <f>normuren!$B$24*2*12</f>
        <v>36</v>
      </c>
      <c r="M5" s="228">
        <f>normuren!$B$25*2*12</f>
        <v>45.599999999999994</v>
      </c>
      <c r="N5" s="250">
        <f>normuren!$B$29</f>
        <v>1.5</v>
      </c>
      <c r="O5" s="115"/>
      <c r="P5" s="286"/>
      <c r="Q5" s="119"/>
      <c r="R5" s="119"/>
      <c r="S5" s="119"/>
      <c r="T5" s="119"/>
      <c r="U5" s="115"/>
      <c r="V5" s="288">
        <v>2</v>
      </c>
      <c r="W5" s="286"/>
      <c r="X5" s="115"/>
      <c r="Y5" s="115"/>
      <c r="Z5" s="115"/>
      <c r="AA5" s="115"/>
      <c r="AB5" s="115"/>
      <c r="AC5" s="115"/>
      <c r="AD5" s="286"/>
      <c r="AE5" s="115"/>
      <c r="AF5" s="115"/>
      <c r="AG5" s="115"/>
      <c r="AH5" s="286"/>
      <c r="AI5" s="115"/>
      <c r="AJ5" s="115"/>
      <c r="AK5" s="115"/>
      <c r="AL5" s="286"/>
      <c r="AM5" s="286"/>
      <c r="AN5" s="115"/>
      <c r="AO5" s="286"/>
      <c r="AP5" s="115"/>
      <c r="AQ5" s="286"/>
      <c r="AR5" s="286"/>
      <c r="AS5" s="288" t="s">
        <v>696</v>
      </c>
      <c r="AT5" s="115"/>
      <c r="AU5" s="115"/>
      <c r="AV5" s="115"/>
      <c r="AW5" s="288" t="s">
        <v>696</v>
      </c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288">
        <v>1</v>
      </c>
      <c r="BK5" s="115"/>
      <c r="BL5" s="162">
        <f t="shared" si="2"/>
        <v>3</v>
      </c>
      <c r="BM5" s="186">
        <f t="shared" si="3"/>
        <v>-3</v>
      </c>
      <c r="BN5" s="209" t="str">
        <f t="shared" si="4"/>
        <v>Oke</v>
      </c>
      <c r="BO5" s="6"/>
      <c r="BP5" s="6"/>
      <c r="BQ5" s="6"/>
      <c r="BR5" s="6"/>
      <c r="BS5" s="6"/>
      <c r="BT5" s="6"/>
      <c r="BU5" s="6"/>
      <c r="BV5" s="6"/>
      <c r="BW5" s="6"/>
      <c r="BX5" s="6"/>
    </row>
    <row r="6" spans="1:76" ht="14.4" x14ac:dyDescent="0.3">
      <c r="A6" s="203" t="s">
        <v>399</v>
      </c>
      <c r="B6" s="203" t="s">
        <v>387</v>
      </c>
      <c r="C6" s="203" t="s">
        <v>27</v>
      </c>
      <c r="D6" s="203" t="s">
        <v>205</v>
      </c>
      <c r="E6" s="208"/>
      <c r="F6" s="24">
        <f t="shared" si="0"/>
        <v>0</v>
      </c>
      <c r="G6" s="249">
        <f t="shared" si="1"/>
        <v>0</v>
      </c>
      <c r="H6" s="101">
        <f>IF(G6=0,0,E6/G6)</f>
        <v>0</v>
      </c>
      <c r="I6" s="79"/>
      <c r="J6" s="226">
        <f>I6*2*normuren!$B$26</f>
        <v>0</v>
      </c>
      <c r="K6" s="227">
        <f>IF(G6&lt;3,normuren!$B$8,IF(AND(G6&lt;6,G6&gt;2),normuren!$B$9,IF(AND(G6&lt;9,G6&gt;5),normuren!$B$10,normuren!$B$11)))</f>
        <v>15</v>
      </c>
      <c r="L6" s="228">
        <f>normuren!$B$24*2*12</f>
        <v>36</v>
      </c>
      <c r="M6" s="228">
        <f>normuren!$B$25*2*12</f>
        <v>45.599999999999994</v>
      </c>
      <c r="N6" s="250">
        <f>normuren!$B$29</f>
        <v>1.5</v>
      </c>
      <c r="O6" s="115" t="s">
        <v>696</v>
      </c>
      <c r="P6" s="286"/>
      <c r="Q6" s="119"/>
      <c r="R6" s="119"/>
      <c r="S6" s="119"/>
      <c r="T6" s="119"/>
      <c r="U6" s="115"/>
      <c r="V6" s="115"/>
      <c r="W6" s="286"/>
      <c r="X6" s="115"/>
      <c r="Y6" s="115"/>
      <c r="Z6" s="115"/>
      <c r="AA6" s="115"/>
      <c r="AB6" s="115"/>
      <c r="AC6" s="115"/>
      <c r="AD6" s="286"/>
      <c r="AE6" s="115"/>
      <c r="AF6" s="115"/>
      <c r="AG6" s="115"/>
      <c r="AH6" s="286"/>
      <c r="AI6" s="115"/>
      <c r="AJ6" s="115"/>
      <c r="AK6" s="115"/>
      <c r="AL6" s="286"/>
      <c r="AM6" s="286"/>
      <c r="AN6" s="115"/>
      <c r="AO6" s="286"/>
      <c r="AP6" s="115"/>
      <c r="AQ6" s="286"/>
      <c r="AR6" s="286"/>
      <c r="AS6" s="115"/>
      <c r="AT6" s="115"/>
      <c r="AU6" s="288">
        <v>2</v>
      </c>
      <c r="AV6" s="115"/>
      <c r="AW6" s="288">
        <v>1</v>
      </c>
      <c r="AX6" s="115"/>
      <c r="AY6" s="115"/>
      <c r="AZ6" s="288">
        <v>1</v>
      </c>
      <c r="BA6" s="115"/>
      <c r="BB6" s="115"/>
      <c r="BC6" s="288">
        <v>1</v>
      </c>
      <c r="BD6" s="288">
        <v>1</v>
      </c>
      <c r="BE6" s="115"/>
      <c r="BF6" s="115"/>
      <c r="BG6" s="290">
        <v>1</v>
      </c>
      <c r="BH6" s="115"/>
      <c r="BI6" s="115"/>
      <c r="BJ6" s="115"/>
      <c r="BK6" s="288">
        <v>1</v>
      </c>
      <c r="BL6" s="162">
        <f t="shared" si="2"/>
        <v>8</v>
      </c>
      <c r="BM6" s="186">
        <f t="shared" si="3"/>
        <v>-8</v>
      </c>
      <c r="BN6" s="209" t="str">
        <f t="shared" si="4"/>
        <v>Oke</v>
      </c>
      <c r="BO6" s="6"/>
      <c r="BP6" s="6"/>
      <c r="BQ6" s="6"/>
      <c r="BR6" s="6"/>
      <c r="BS6" s="6"/>
      <c r="BT6" s="6"/>
      <c r="BU6" s="6"/>
      <c r="BV6" s="6"/>
      <c r="BW6" s="6"/>
      <c r="BX6" s="6"/>
    </row>
    <row r="7" spans="1:76" ht="14.4" x14ac:dyDescent="0.3">
      <c r="A7" s="203" t="s">
        <v>400</v>
      </c>
      <c r="B7" s="203" t="s">
        <v>388</v>
      </c>
      <c r="C7" s="203" t="s">
        <v>27</v>
      </c>
      <c r="D7" s="205" t="s">
        <v>621</v>
      </c>
      <c r="E7" s="208"/>
      <c r="F7" s="24">
        <f t="shared" si="0"/>
        <v>0</v>
      </c>
      <c r="G7" s="249">
        <f t="shared" si="1"/>
        <v>0</v>
      </c>
      <c r="H7" s="101">
        <f>IF(G7=0,0,E7/G7)</f>
        <v>0</v>
      </c>
      <c r="I7" s="79"/>
      <c r="J7" s="226">
        <f>I7*2*normuren!$B$26</f>
        <v>0</v>
      </c>
      <c r="K7" s="227">
        <f>IF(G7&lt;3,normuren!$B$8,IF(AND(G7&lt;6,G7&gt;2),normuren!$B$9,IF(AND(G7&lt;9,G7&gt;5),normuren!$B$10,normuren!$B$11)))</f>
        <v>15</v>
      </c>
      <c r="L7" s="228">
        <f>normuren!$B$24*2*12</f>
        <v>36</v>
      </c>
      <c r="M7" s="228">
        <f>normuren!$B$25*2*12</f>
        <v>45.599999999999994</v>
      </c>
      <c r="N7" s="250">
        <f>normuren!$B$29</f>
        <v>1.5</v>
      </c>
      <c r="O7" s="115"/>
      <c r="P7" s="286"/>
      <c r="Q7" s="119"/>
      <c r="R7" s="119"/>
      <c r="S7" s="119"/>
      <c r="T7" s="119"/>
      <c r="U7" s="115"/>
      <c r="V7" s="115"/>
      <c r="W7" s="287"/>
      <c r="X7" s="290" t="s">
        <v>696</v>
      </c>
      <c r="Y7" s="115"/>
      <c r="Z7" s="115"/>
      <c r="AA7" s="115"/>
      <c r="AB7" s="115"/>
      <c r="AC7" s="115"/>
      <c r="AD7" s="286"/>
      <c r="AE7" s="288">
        <v>1</v>
      </c>
      <c r="AF7" s="115"/>
      <c r="AG7" s="288">
        <v>1</v>
      </c>
      <c r="AH7" s="286"/>
      <c r="AI7" s="115"/>
      <c r="AJ7" s="115"/>
      <c r="AK7" s="115"/>
      <c r="AL7" s="286"/>
      <c r="AM7" s="286"/>
      <c r="AN7" s="115"/>
      <c r="AO7" s="286"/>
      <c r="AP7" s="115"/>
      <c r="AQ7" s="286"/>
      <c r="AR7" s="287"/>
      <c r="AS7" s="288" t="s">
        <v>696</v>
      </c>
      <c r="AT7" s="284">
        <v>1</v>
      </c>
      <c r="AU7" s="173"/>
      <c r="AV7" s="173"/>
      <c r="AW7" s="300">
        <v>1</v>
      </c>
      <c r="AX7" s="173"/>
      <c r="AY7" s="173"/>
      <c r="AZ7" s="173"/>
      <c r="BA7" s="173"/>
      <c r="BB7" s="288">
        <v>1</v>
      </c>
      <c r="BC7" s="173"/>
      <c r="BD7" s="290">
        <v>1</v>
      </c>
      <c r="BE7" s="173"/>
      <c r="BF7" s="173"/>
      <c r="BG7" s="115"/>
      <c r="BH7" s="115"/>
      <c r="BI7" s="288" t="s">
        <v>696</v>
      </c>
      <c r="BJ7" s="173"/>
      <c r="BK7" s="115"/>
      <c r="BL7" s="162">
        <f t="shared" si="2"/>
        <v>6</v>
      </c>
      <c r="BM7" s="186">
        <f t="shared" si="3"/>
        <v>-6</v>
      </c>
      <c r="BN7" s="209" t="str">
        <f t="shared" si="4"/>
        <v>Oke</v>
      </c>
      <c r="BO7" s="6"/>
      <c r="BP7" s="6"/>
      <c r="BQ7" s="6"/>
      <c r="BR7" s="6"/>
      <c r="BS7" s="6"/>
      <c r="BT7" s="6"/>
      <c r="BU7" s="6"/>
      <c r="BV7" s="6"/>
      <c r="BW7" s="6"/>
      <c r="BX7" s="6"/>
    </row>
    <row r="8" spans="1:76" ht="14.4" x14ac:dyDescent="0.3">
      <c r="A8" s="203" t="s">
        <v>401</v>
      </c>
      <c r="B8" s="203" t="s">
        <v>389</v>
      </c>
      <c r="C8" s="203" t="s">
        <v>27</v>
      </c>
      <c r="D8" s="203" t="s">
        <v>622</v>
      </c>
      <c r="E8" s="208"/>
      <c r="F8" s="24">
        <f t="shared" si="0"/>
        <v>0</v>
      </c>
      <c r="G8" s="249">
        <f t="shared" si="1"/>
        <v>0</v>
      </c>
      <c r="H8" s="101">
        <f>IF(G8=0,0,E8/G8)</f>
        <v>0</v>
      </c>
      <c r="I8" s="79"/>
      <c r="J8" s="226">
        <f>I8*2*normuren!$B$26</f>
        <v>0</v>
      </c>
      <c r="K8" s="227">
        <f>IF(G8&lt;3,normuren!$B$8,IF(AND(G8&lt;6,G8&gt;2),normuren!$B$9,IF(AND(G8&lt;9,G8&gt;5),normuren!$B$10,normuren!$B$11)))</f>
        <v>15</v>
      </c>
      <c r="L8" s="228">
        <f>normuren!$B$24*2*12</f>
        <v>36</v>
      </c>
      <c r="M8" s="228">
        <f>normuren!$B$25*2*12</f>
        <v>45.599999999999994</v>
      </c>
      <c r="N8" s="250">
        <f>normuren!$B$29</f>
        <v>1.5</v>
      </c>
      <c r="O8" s="115"/>
      <c r="P8" s="286"/>
      <c r="Q8" s="119"/>
      <c r="R8" s="119"/>
      <c r="S8" s="119"/>
      <c r="T8" s="119"/>
      <c r="U8" s="288">
        <v>1</v>
      </c>
      <c r="V8" s="115"/>
      <c r="W8" s="286"/>
      <c r="X8" s="288" t="s">
        <v>696</v>
      </c>
      <c r="Y8" s="115"/>
      <c r="Z8" s="115"/>
      <c r="AA8" s="115"/>
      <c r="AB8" s="115"/>
      <c r="AC8" s="115"/>
      <c r="AD8" s="286"/>
      <c r="AE8" s="115"/>
      <c r="AF8" s="115"/>
      <c r="AG8" s="115"/>
      <c r="AH8" s="286"/>
      <c r="AI8" s="115"/>
      <c r="AJ8" s="115"/>
      <c r="AK8" s="115"/>
      <c r="AL8" s="286"/>
      <c r="AM8" s="286"/>
      <c r="AN8" s="115"/>
      <c r="AO8" s="286"/>
      <c r="AP8" s="115"/>
      <c r="AQ8" s="286"/>
      <c r="AR8" s="286"/>
      <c r="AS8" s="115"/>
      <c r="AT8" s="115"/>
      <c r="AU8" s="115"/>
      <c r="AV8" s="115"/>
      <c r="AW8" s="115"/>
      <c r="AX8" s="115"/>
      <c r="AY8" s="115"/>
      <c r="AZ8" s="115"/>
      <c r="BA8" s="115"/>
      <c r="BB8" s="288">
        <v>1</v>
      </c>
      <c r="BC8" s="288">
        <v>1</v>
      </c>
      <c r="BD8" s="115"/>
      <c r="BE8" s="115"/>
      <c r="BF8" s="115"/>
      <c r="BG8" s="290">
        <v>1</v>
      </c>
      <c r="BH8" s="115"/>
      <c r="BI8" s="288" t="s">
        <v>696</v>
      </c>
      <c r="BJ8" s="115"/>
      <c r="BK8" s="115"/>
      <c r="BL8" s="162">
        <f t="shared" si="2"/>
        <v>4</v>
      </c>
      <c r="BM8" s="186">
        <f t="shared" si="3"/>
        <v>-4</v>
      </c>
      <c r="BN8" s="209" t="str">
        <f t="shared" si="4"/>
        <v>Oke</v>
      </c>
      <c r="BO8" s="6"/>
      <c r="BP8" s="6"/>
      <c r="BQ8" s="6"/>
      <c r="BR8" s="6"/>
      <c r="BS8" s="6"/>
      <c r="BT8" s="6"/>
      <c r="BU8" s="6"/>
      <c r="BV8" s="6"/>
      <c r="BW8" s="6"/>
      <c r="BX8" s="6"/>
    </row>
    <row r="9" spans="1:76" ht="13.8" x14ac:dyDescent="0.3">
      <c r="A9" s="203" t="s">
        <v>595</v>
      </c>
      <c r="B9" s="203" t="s">
        <v>596</v>
      </c>
      <c r="C9" s="203" t="s">
        <v>250</v>
      </c>
      <c r="D9" s="203" t="s">
        <v>472</v>
      </c>
      <c r="E9" s="208"/>
      <c r="F9" s="24">
        <f t="shared" si="0"/>
        <v>0</v>
      </c>
      <c r="G9" s="249">
        <f t="shared" si="1"/>
        <v>0</v>
      </c>
      <c r="H9" s="101">
        <f>IF(G10=0,0,E9/G10)</f>
        <v>0</v>
      </c>
      <c r="I9" s="79"/>
      <c r="J9" s="226">
        <f>I9*2*normuren!$B$26</f>
        <v>0</v>
      </c>
      <c r="K9" s="227">
        <f>IF(G10&lt;3,normuren!$B$8,IF(AND(G10&lt;6,G10&gt;2),normuren!$B$9,IF(AND(G10&lt;9,G10&gt;5),normuren!$B$10,normuren!$B$11)))</f>
        <v>15</v>
      </c>
      <c r="L9" s="228">
        <f>normuren!$B$24*2*12</f>
        <v>36</v>
      </c>
      <c r="M9" s="228">
        <f>normuren!$B$25*2*12</f>
        <v>45.599999999999994</v>
      </c>
      <c r="N9" s="250">
        <f>normuren!$B$29</f>
        <v>1.5</v>
      </c>
      <c r="O9" s="115"/>
      <c r="P9" s="286"/>
      <c r="Q9" s="119"/>
      <c r="R9" s="119"/>
      <c r="S9" s="119"/>
      <c r="T9" s="119"/>
      <c r="U9" s="115"/>
      <c r="V9" s="115"/>
      <c r="W9" s="286"/>
      <c r="X9" s="115"/>
      <c r="Y9" s="115"/>
      <c r="Z9" s="115"/>
      <c r="AA9" s="115"/>
      <c r="AB9" s="115"/>
      <c r="AC9" s="115"/>
      <c r="AD9" s="286"/>
      <c r="AE9" s="115"/>
      <c r="AF9" s="115"/>
      <c r="AG9" s="115"/>
      <c r="AH9" s="286"/>
      <c r="AI9" s="115"/>
      <c r="AJ9" s="115"/>
      <c r="AK9" s="115"/>
      <c r="AL9" s="286"/>
      <c r="AM9" s="286"/>
      <c r="AN9" s="115"/>
      <c r="AO9" s="286"/>
      <c r="AP9" s="115"/>
      <c r="AQ9" s="286"/>
      <c r="AR9" s="286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62">
        <f t="shared" si="2"/>
        <v>0</v>
      </c>
      <c r="BM9" s="186">
        <f t="shared" si="3"/>
        <v>0</v>
      </c>
      <c r="BN9" s="209" t="str">
        <f t="shared" si="4"/>
        <v>Oke</v>
      </c>
      <c r="BO9" s="6"/>
      <c r="BP9" s="6"/>
      <c r="BQ9" s="6"/>
      <c r="BR9" s="6"/>
      <c r="BS9" s="6"/>
      <c r="BT9" s="6"/>
      <c r="BU9" s="6"/>
      <c r="BV9" s="6"/>
      <c r="BW9" s="6"/>
      <c r="BX9" s="6"/>
    </row>
    <row r="10" spans="1:76" ht="13.8" x14ac:dyDescent="0.3">
      <c r="A10" s="203" t="s">
        <v>403</v>
      </c>
      <c r="B10" s="203" t="s">
        <v>393</v>
      </c>
      <c r="C10" s="203" t="s">
        <v>27</v>
      </c>
      <c r="D10" s="203" t="s">
        <v>343</v>
      </c>
      <c r="E10" s="208"/>
      <c r="F10" s="24">
        <f t="shared" si="0"/>
        <v>0</v>
      </c>
      <c r="G10" s="249">
        <f t="shared" si="1"/>
        <v>0</v>
      </c>
      <c r="H10" s="101">
        <f>IF(G11=0,0,E10/G11)</f>
        <v>0</v>
      </c>
      <c r="I10" s="79"/>
      <c r="J10" s="226">
        <f>I10*2*normuren!$B$26</f>
        <v>0</v>
      </c>
      <c r="K10" s="227">
        <f>IF(G11&lt;3,normuren!$B$8,IF(AND(G11&lt;6,G11&gt;2),normuren!$B$9,IF(AND(G11&lt;9,G11&gt;5),normuren!$B$10,normuren!$B$11)))</f>
        <v>15</v>
      </c>
      <c r="L10" s="228">
        <f>normuren!$B$24*2*12</f>
        <v>36</v>
      </c>
      <c r="M10" s="228">
        <f>normuren!$B$25*2*12</f>
        <v>45.599999999999994</v>
      </c>
      <c r="N10" s="250">
        <f>normuren!$B$29</f>
        <v>1.5</v>
      </c>
      <c r="O10" s="115" t="s">
        <v>696</v>
      </c>
      <c r="P10" s="284">
        <v>1</v>
      </c>
      <c r="Q10" s="119"/>
      <c r="R10" s="119"/>
      <c r="S10" s="267">
        <v>1</v>
      </c>
      <c r="T10" s="267">
        <v>1</v>
      </c>
      <c r="U10" s="288">
        <v>1</v>
      </c>
      <c r="V10" s="115"/>
      <c r="W10" s="286"/>
      <c r="X10" s="115"/>
      <c r="Y10" s="115"/>
      <c r="Z10" s="115"/>
      <c r="AA10" s="115"/>
      <c r="AB10" s="115"/>
      <c r="AC10" s="115"/>
      <c r="AD10" s="286"/>
      <c r="AE10" s="288">
        <v>1</v>
      </c>
      <c r="AF10" s="115"/>
      <c r="AG10" s="115"/>
      <c r="AH10" s="286"/>
      <c r="AI10" s="115"/>
      <c r="AJ10" s="115"/>
      <c r="AK10" s="115"/>
      <c r="AL10" s="286"/>
      <c r="AM10" s="286"/>
      <c r="AN10" s="115"/>
      <c r="AO10" s="286"/>
      <c r="AP10" s="288">
        <v>1</v>
      </c>
      <c r="AQ10" s="286"/>
      <c r="AR10" s="286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288" t="s">
        <v>696</v>
      </c>
      <c r="BJ10" s="288">
        <v>1</v>
      </c>
      <c r="BK10" s="115"/>
      <c r="BL10" s="162">
        <f t="shared" si="2"/>
        <v>7</v>
      </c>
      <c r="BM10" s="186">
        <f t="shared" si="3"/>
        <v>-7</v>
      </c>
      <c r="BN10" s="209" t="str">
        <f t="shared" si="4"/>
        <v>Oke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</row>
    <row r="11" spans="1:76" ht="13.8" x14ac:dyDescent="0.3">
      <c r="A11" s="204" t="s">
        <v>597</v>
      </c>
      <c r="B11" s="204" t="s">
        <v>598</v>
      </c>
      <c r="C11" s="203" t="s">
        <v>601</v>
      </c>
      <c r="D11" s="204" t="s">
        <v>673</v>
      </c>
      <c r="E11" s="208"/>
      <c r="F11" s="24">
        <f t="shared" si="0"/>
        <v>0</v>
      </c>
      <c r="G11" s="249">
        <f t="shared" si="1"/>
        <v>0</v>
      </c>
      <c r="H11" s="101">
        <f t="shared" ref="H11:H16" si="5">IF(G11=0,0,E11/G11)</f>
        <v>0</v>
      </c>
      <c r="I11" s="79"/>
      <c r="J11" s="226">
        <f>I11*2*normuren!$B$26</f>
        <v>0</v>
      </c>
      <c r="K11" s="227">
        <f>IF(G11&lt;3,normuren!$B$8,IF(AND(G11&lt;6,G11&gt;2),normuren!$B$9,IF(AND(G11&lt;9,G11&gt;5),normuren!$B$10,normuren!$B$11)))</f>
        <v>15</v>
      </c>
      <c r="L11" s="228">
        <f>normuren!$B$24*2*12</f>
        <v>36</v>
      </c>
      <c r="M11" s="228">
        <f>normuren!$B$25*2*12</f>
        <v>45.599999999999994</v>
      </c>
      <c r="N11" s="250">
        <f>normuren!$B$29</f>
        <v>1.5</v>
      </c>
      <c r="O11" s="115"/>
      <c r="P11" s="286"/>
      <c r="Q11" s="119"/>
      <c r="R11" s="119"/>
      <c r="S11" s="119"/>
      <c r="T11" s="119"/>
      <c r="U11" s="115"/>
      <c r="V11" s="115"/>
      <c r="W11" s="286"/>
      <c r="X11" s="115"/>
      <c r="Y11" s="115"/>
      <c r="Z11" s="115"/>
      <c r="AA11" s="115"/>
      <c r="AB11" s="115"/>
      <c r="AC11" s="115"/>
      <c r="AD11" s="286"/>
      <c r="AE11" s="115"/>
      <c r="AF11" s="115"/>
      <c r="AG11" s="115"/>
      <c r="AH11" s="286"/>
      <c r="AI11" s="115"/>
      <c r="AJ11" s="115"/>
      <c r="AK11" s="115"/>
      <c r="AL11" s="286"/>
      <c r="AM11" s="286"/>
      <c r="AN11" s="115"/>
      <c r="AO11" s="286"/>
      <c r="AP11" s="115"/>
      <c r="AQ11" s="286"/>
      <c r="AR11" s="286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62">
        <f t="shared" si="2"/>
        <v>0</v>
      </c>
      <c r="BM11" s="186">
        <f t="shared" si="3"/>
        <v>0</v>
      </c>
      <c r="BN11" s="209" t="str">
        <f t="shared" si="4"/>
        <v>Oke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</row>
    <row r="12" spans="1:76" ht="13.8" x14ac:dyDescent="0.3">
      <c r="A12" s="204" t="s">
        <v>599</v>
      </c>
      <c r="B12" s="204" t="s">
        <v>600</v>
      </c>
      <c r="C12" s="204" t="s">
        <v>27</v>
      </c>
      <c r="D12" s="204" t="s">
        <v>238</v>
      </c>
      <c r="E12" s="208"/>
      <c r="F12" s="24">
        <f t="shared" si="0"/>
        <v>0</v>
      </c>
      <c r="G12" s="249">
        <f t="shared" si="1"/>
        <v>0</v>
      </c>
      <c r="H12" s="101">
        <f t="shared" si="5"/>
        <v>0</v>
      </c>
      <c r="I12" s="79"/>
      <c r="J12" s="226">
        <f>I12*2*normuren!$B$26</f>
        <v>0</v>
      </c>
      <c r="K12" s="227">
        <f>IF(G12&lt;3,normuren!$B$8,IF(AND(G12&lt;6,G12&gt;2),normuren!$B$9,IF(AND(G12&lt;9,G12&gt;5),normuren!$B$10,normuren!$B$11)))</f>
        <v>15</v>
      </c>
      <c r="L12" s="228">
        <f>normuren!$B$24*2*12</f>
        <v>36</v>
      </c>
      <c r="M12" s="228">
        <f>normuren!$B$25*2*12</f>
        <v>45.599999999999994</v>
      </c>
      <c r="N12" s="250">
        <f>normuren!$B$29</f>
        <v>1.5</v>
      </c>
      <c r="O12" s="115"/>
      <c r="P12" s="286"/>
      <c r="Q12" s="119"/>
      <c r="R12" s="267">
        <v>1</v>
      </c>
      <c r="S12" s="119"/>
      <c r="T12" s="119"/>
      <c r="U12" s="115"/>
      <c r="V12" s="115"/>
      <c r="W12" s="286"/>
      <c r="X12" s="115"/>
      <c r="Y12" s="288">
        <v>1</v>
      </c>
      <c r="Z12" s="115"/>
      <c r="AA12" s="115"/>
      <c r="AB12" s="115"/>
      <c r="AC12" s="115"/>
      <c r="AD12" s="286"/>
      <c r="AE12" s="115"/>
      <c r="AF12" s="115"/>
      <c r="AG12" s="115"/>
      <c r="AH12" s="286"/>
      <c r="AI12" s="115"/>
      <c r="AJ12" s="115"/>
      <c r="AK12" s="115"/>
      <c r="AL12" s="286"/>
      <c r="AM12" s="286"/>
      <c r="AN12" s="115"/>
      <c r="AO12" s="286"/>
      <c r="AP12" s="115"/>
      <c r="AQ12" s="286"/>
      <c r="AR12" s="286"/>
      <c r="AS12" s="115"/>
      <c r="AT12" s="288">
        <v>1</v>
      </c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62">
        <f t="shared" si="2"/>
        <v>3</v>
      </c>
      <c r="BM12" s="186">
        <f t="shared" si="3"/>
        <v>-3</v>
      </c>
      <c r="BN12" s="209" t="str">
        <f t="shared" si="4"/>
        <v>Oke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</row>
    <row r="13" spans="1:76" ht="13.8" x14ac:dyDescent="0.3">
      <c r="A13" s="204" t="s">
        <v>610</v>
      </c>
      <c r="B13" s="204" t="s">
        <v>654</v>
      </c>
      <c r="C13" s="204" t="s">
        <v>246</v>
      </c>
      <c r="D13" s="204" t="s">
        <v>609</v>
      </c>
      <c r="E13" s="208"/>
      <c r="F13" s="24">
        <f t="shared" si="0"/>
        <v>0</v>
      </c>
      <c r="G13" s="249">
        <f t="shared" si="1"/>
        <v>0</v>
      </c>
      <c r="H13" s="101">
        <f t="shared" si="5"/>
        <v>0</v>
      </c>
      <c r="I13" s="79"/>
      <c r="J13" s="226"/>
      <c r="K13" s="227"/>
      <c r="L13" s="228"/>
      <c r="M13" s="228"/>
      <c r="N13" s="250"/>
      <c r="O13" s="115"/>
      <c r="P13" s="286"/>
      <c r="Q13" s="119"/>
      <c r="R13" s="119"/>
      <c r="S13" s="119"/>
      <c r="T13" s="119"/>
      <c r="U13" s="115"/>
      <c r="V13" s="115"/>
      <c r="W13" s="286"/>
      <c r="X13" s="115"/>
      <c r="Y13" s="115"/>
      <c r="Z13" s="115"/>
      <c r="AA13" s="115"/>
      <c r="AB13" s="115"/>
      <c r="AC13" s="115"/>
      <c r="AD13" s="286"/>
      <c r="AE13" s="115"/>
      <c r="AF13" s="115"/>
      <c r="AG13" s="115"/>
      <c r="AH13" s="286"/>
      <c r="AI13" s="115"/>
      <c r="AJ13" s="115"/>
      <c r="AK13" s="115"/>
      <c r="AL13" s="286"/>
      <c r="AM13" s="286"/>
      <c r="AN13" s="115"/>
      <c r="AO13" s="286"/>
      <c r="AP13" s="115"/>
      <c r="AQ13" s="286"/>
      <c r="AR13" s="286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62">
        <f t="shared" si="2"/>
        <v>0</v>
      </c>
      <c r="BM13" s="186">
        <f t="shared" si="3"/>
        <v>0</v>
      </c>
      <c r="BN13" s="209" t="str">
        <f t="shared" si="4"/>
        <v>Oke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</row>
    <row r="14" spans="1:76" ht="13.8" x14ac:dyDescent="0.3">
      <c r="A14" s="203" t="s">
        <v>271</v>
      </c>
      <c r="B14" s="203" t="s">
        <v>241</v>
      </c>
      <c r="C14" s="203" t="s">
        <v>27</v>
      </c>
      <c r="D14" s="203" t="s">
        <v>242</v>
      </c>
      <c r="E14" s="208"/>
      <c r="F14" s="24">
        <f t="shared" si="0"/>
        <v>0</v>
      </c>
      <c r="G14" s="249">
        <f t="shared" si="1"/>
        <v>0</v>
      </c>
      <c r="H14" s="101">
        <f t="shared" si="5"/>
        <v>0</v>
      </c>
      <c r="I14" s="79"/>
      <c r="J14" s="226">
        <f>I14*2*normuren!$B$26</f>
        <v>0</v>
      </c>
      <c r="K14" s="227">
        <f>IF(G14&lt;3,normuren!$B$8,IF(AND(G14&lt;6,G14&gt;2),normuren!$B$9,IF(AND(G14&lt;9,G14&gt;5),normuren!$B$10,normuren!$B$11)))</f>
        <v>15</v>
      </c>
      <c r="L14" s="228">
        <f>normuren!$B$24*2*12</f>
        <v>36</v>
      </c>
      <c r="M14" s="228">
        <f>normuren!$B$25*2*12</f>
        <v>45.599999999999994</v>
      </c>
      <c r="N14" s="250">
        <f>normuren!$B$29</f>
        <v>1.5</v>
      </c>
      <c r="O14" s="115"/>
      <c r="P14" s="286"/>
      <c r="Q14" s="119"/>
      <c r="R14" s="119"/>
      <c r="S14" s="119"/>
      <c r="T14" s="119"/>
      <c r="U14" s="115"/>
      <c r="V14" s="115"/>
      <c r="W14" s="286"/>
      <c r="X14" s="115"/>
      <c r="Y14" s="115"/>
      <c r="Z14" s="115"/>
      <c r="AA14" s="288" t="s">
        <v>696</v>
      </c>
      <c r="AB14" s="115"/>
      <c r="AC14" s="115"/>
      <c r="AD14" s="286"/>
      <c r="AE14" s="115"/>
      <c r="AF14" s="115"/>
      <c r="AG14" s="115"/>
      <c r="AH14" s="286"/>
      <c r="AI14" s="115"/>
      <c r="AJ14" s="115"/>
      <c r="AK14" s="115"/>
      <c r="AL14" s="286"/>
      <c r="AM14" s="286"/>
      <c r="AN14" s="115"/>
      <c r="AO14" s="286"/>
      <c r="AP14" s="115"/>
      <c r="AQ14" s="286"/>
      <c r="AR14" s="286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62">
        <f t="shared" si="2"/>
        <v>0</v>
      </c>
      <c r="BM14" s="186">
        <f t="shared" si="3"/>
        <v>0</v>
      </c>
      <c r="BN14" s="209" t="str">
        <f t="shared" si="4"/>
        <v>Oke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</row>
    <row r="15" spans="1:76" ht="13.8" x14ac:dyDescent="0.3">
      <c r="A15" s="203" t="s">
        <v>506</v>
      </c>
      <c r="B15" s="203" t="s">
        <v>642</v>
      </c>
      <c r="C15" s="203" t="s">
        <v>27</v>
      </c>
      <c r="D15" s="203" t="s">
        <v>475</v>
      </c>
      <c r="E15" s="208"/>
      <c r="F15" s="24">
        <f t="shared" si="0"/>
        <v>0</v>
      </c>
      <c r="G15" s="249">
        <f t="shared" si="1"/>
        <v>0</v>
      </c>
      <c r="H15" s="101">
        <f t="shared" si="5"/>
        <v>0</v>
      </c>
      <c r="I15" s="79"/>
      <c r="J15" s="226">
        <f>I15*2*normuren!$B$26</f>
        <v>0</v>
      </c>
      <c r="K15" s="227">
        <f>IF(G15&lt;3,normuren!$B$8,IF(AND(G15&lt;6,G15&gt;2),normuren!$B$9,IF(AND(G15&lt;9,G15&gt;5),normuren!$B$10,normuren!$B$11)))</f>
        <v>15</v>
      </c>
      <c r="L15" s="228">
        <f>normuren!$B$27</f>
        <v>20</v>
      </c>
      <c r="M15" s="228">
        <v>20</v>
      </c>
      <c r="N15" s="250">
        <f>normuren!$B$29</f>
        <v>1.5</v>
      </c>
      <c r="O15" s="115"/>
      <c r="P15" s="286"/>
      <c r="Q15" s="119"/>
      <c r="R15" s="119"/>
      <c r="S15" s="119"/>
      <c r="T15" s="119"/>
      <c r="U15" s="115"/>
      <c r="V15" s="115"/>
      <c r="W15" s="286"/>
      <c r="X15" s="115"/>
      <c r="Y15" s="115"/>
      <c r="Z15" s="115"/>
      <c r="AA15" s="115"/>
      <c r="AB15" s="115"/>
      <c r="AC15" s="115"/>
      <c r="AD15" s="286"/>
      <c r="AE15" s="115"/>
      <c r="AF15" s="115"/>
      <c r="AG15" s="115"/>
      <c r="AH15" s="286"/>
      <c r="AI15" s="115"/>
      <c r="AJ15" s="115"/>
      <c r="AK15" s="115"/>
      <c r="AL15" s="286"/>
      <c r="AM15" s="286"/>
      <c r="AN15" s="115"/>
      <c r="AO15" s="286"/>
      <c r="AP15" s="115"/>
      <c r="AQ15" s="286"/>
      <c r="AR15" s="286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15"/>
      <c r="BK15" s="115"/>
      <c r="BL15" s="162">
        <f t="shared" si="2"/>
        <v>0</v>
      </c>
      <c r="BM15" s="186">
        <f t="shared" si="3"/>
        <v>0</v>
      </c>
      <c r="BN15" s="209" t="str">
        <f t="shared" si="4"/>
        <v>Oke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</row>
    <row r="16" spans="1:76" ht="13.8" x14ac:dyDescent="0.3">
      <c r="A16" s="203" t="s">
        <v>272</v>
      </c>
      <c r="B16" s="203" t="s">
        <v>243</v>
      </c>
      <c r="C16" s="203" t="s">
        <v>27</v>
      </c>
      <c r="D16" s="203" t="s">
        <v>244</v>
      </c>
      <c r="E16" s="208"/>
      <c r="F16" s="24">
        <f t="shared" si="0"/>
        <v>0</v>
      </c>
      <c r="G16" s="249">
        <f t="shared" si="1"/>
        <v>0</v>
      </c>
      <c r="H16" s="101">
        <f t="shared" si="5"/>
        <v>0</v>
      </c>
      <c r="I16" s="79"/>
      <c r="J16" s="226">
        <f>I16*2*normuren!$B$26</f>
        <v>0</v>
      </c>
      <c r="K16" s="227">
        <f>IF(G16&lt;3,normuren!$B$8,IF(AND(G16&lt;6,G16&gt;2),normuren!$B$9,IF(AND(G16&lt;9,G16&gt;5),normuren!$B$10,normuren!$B$11)))</f>
        <v>15</v>
      </c>
      <c r="L16" s="228">
        <f>normuren!$B$27</f>
        <v>20</v>
      </c>
      <c r="M16" s="228">
        <v>20</v>
      </c>
      <c r="N16" s="250">
        <f>normuren!$B$29</f>
        <v>1.5</v>
      </c>
      <c r="O16" s="115"/>
      <c r="P16" s="286"/>
      <c r="Q16" s="119"/>
      <c r="R16" s="119"/>
      <c r="S16" s="119"/>
      <c r="T16" s="267" t="s">
        <v>696</v>
      </c>
      <c r="U16" s="115"/>
      <c r="V16" s="115"/>
      <c r="W16" s="286"/>
      <c r="X16" s="115"/>
      <c r="Y16" s="115"/>
      <c r="Z16" s="115"/>
      <c r="AA16" s="115"/>
      <c r="AB16" s="115"/>
      <c r="AC16" s="115"/>
      <c r="AD16" s="286"/>
      <c r="AE16" s="115"/>
      <c r="AF16" s="115"/>
      <c r="AG16" s="288" t="s">
        <v>696</v>
      </c>
      <c r="AH16" s="286"/>
      <c r="AI16" s="115"/>
      <c r="AJ16" s="115"/>
      <c r="AK16" s="288" t="s">
        <v>696</v>
      </c>
      <c r="AL16" s="286"/>
      <c r="AM16" s="288" t="s">
        <v>696</v>
      </c>
      <c r="AN16" s="115"/>
      <c r="AO16" s="286"/>
      <c r="AP16" s="115"/>
      <c r="AQ16" s="286"/>
      <c r="AR16" s="286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62">
        <f t="shared" si="2"/>
        <v>0</v>
      </c>
      <c r="BM16" s="186">
        <f t="shared" si="3"/>
        <v>0</v>
      </c>
      <c r="BN16" s="209" t="str">
        <f t="shared" si="4"/>
        <v>Oke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</row>
    <row r="17" spans="1:76" s="158" customFormat="1" ht="13.8" x14ac:dyDescent="0.3">
      <c r="O17" s="179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9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  <c r="BK17" s="179"/>
      <c r="BL17" s="179"/>
      <c r="BM17" s="183"/>
      <c r="BN17" s="209"/>
    </row>
    <row r="18" spans="1:76" s="158" customFormat="1" ht="13.8" hidden="1" x14ac:dyDescent="0.3">
      <c r="A18" s="171" t="s">
        <v>10</v>
      </c>
      <c r="B18" s="149"/>
      <c r="C18" s="134"/>
      <c r="D18" s="134"/>
      <c r="E18" s="135"/>
      <c r="F18" s="150"/>
      <c r="G18" s="254">
        <f>SUM(G4:G16)</f>
        <v>0</v>
      </c>
      <c r="H18" s="134"/>
      <c r="I18" s="234"/>
      <c r="J18" s="234"/>
      <c r="K18" s="234"/>
      <c r="L18" s="235"/>
      <c r="M18" s="235"/>
      <c r="N18" s="236"/>
      <c r="O18" s="143">
        <f t="shared" ref="O18:AR18" si="6">SUM(O3:O16)</f>
        <v>0</v>
      </c>
      <c r="P18" s="143">
        <f t="shared" si="6"/>
        <v>1</v>
      </c>
      <c r="Q18" s="143">
        <f t="shared" si="6"/>
        <v>0</v>
      </c>
      <c r="R18" s="143">
        <f t="shared" si="6"/>
        <v>1</v>
      </c>
      <c r="S18" s="143">
        <f t="shared" si="6"/>
        <v>1</v>
      </c>
      <c r="T18" s="143">
        <f t="shared" si="6"/>
        <v>1</v>
      </c>
      <c r="U18" s="143">
        <f t="shared" si="6"/>
        <v>2</v>
      </c>
      <c r="V18" s="143">
        <f t="shared" si="6"/>
        <v>2</v>
      </c>
      <c r="W18" s="143">
        <f t="shared" si="6"/>
        <v>0</v>
      </c>
      <c r="X18" s="143">
        <f t="shared" si="6"/>
        <v>0</v>
      </c>
      <c r="Y18" s="143">
        <f t="shared" si="6"/>
        <v>1</v>
      </c>
      <c r="Z18" s="143">
        <f t="shared" si="6"/>
        <v>0</v>
      </c>
      <c r="AA18" s="143">
        <f t="shared" si="6"/>
        <v>0</v>
      </c>
      <c r="AB18" s="143">
        <f t="shared" si="6"/>
        <v>0</v>
      </c>
      <c r="AC18" s="143">
        <f t="shared" si="6"/>
        <v>0</v>
      </c>
      <c r="AD18" s="143">
        <f t="shared" si="6"/>
        <v>0</v>
      </c>
      <c r="AE18" s="143">
        <f t="shared" si="6"/>
        <v>2</v>
      </c>
      <c r="AF18" s="143">
        <f t="shared" si="6"/>
        <v>0</v>
      </c>
      <c r="AG18" s="143">
        <f t="shared" si="6"/>
        <v>1</v>
      </c>
      <c r="AH18" s="143">
        <f t="shared" si="6"/>
        <v>0</v>
      </c>
      <c r="AI18" s="143">
        <f t="shared" si="6"/>
        <v>0</v>
      </c>
      <c r="AJ18" s="143">
        <f t="shared" si="6"/>
        <v>0</v>
      </c>
      <c r="AK18" s="143">
        <f t="shared" si="6"/>
        <v>0</v>
      </c>
      <c r="AL18" s="143">
        <f t="shared" si="6"/>
        <v>0</v>
      </c>
      <c r="AM18" s="143">
        <f t="shared" si="6"/>
        <v>0</v>
      </c>
      <c r="AN18" s="143">
        <f t="shared" si="6"/>
        <v>0</v>
      </c>
      <c r="AO18" s="143">
        <f t="shared" si="6"/>
        <v>0</v>
      </c>
      <c r="AP18" s="143">
        <f t="shared" si="6"/>
        <v>1</v>
      </c>
      <c r="AQ18" s="143">
        <f t="shared" si="6"/>
        <v>0</v>
      </c>
      <c r="AR18" s="143">
        <f t="shared" si="6"/>
        <v>0</v>
      </c>
      <c r="AS18" s="143">
        <f t="shared" ref="AS18:AT18" si="7">SUM(AS3:AS16)</f>
        <v>0</v>
      </c>
      <c r="AT18" s="143">
        <f t="shared" si="7"/>
        <v>2</v>
      </c>
      <c r="AU18" s="143">
        <f t="shared" ref="AU18:AU26" si="8">SUM(AU3:AU16)</f>
        <v>2</v>
      </c>
      <c r="AV18" s="143"/>
      <c r="AW18" s="143"/>
      <c r="AX18" s="143">
        <f t="shared" ref="AX18:BC26" si="9">SUM(AX3:AX16)</f>
        <v>0</v>
      </c>
      <c r="AY18" s="143"/>
      <c r="AZ18" s="143"/>
      <c r="BA18" s="143"/>
      <c r="BB18" s="143">
        <f t="shared" ref="BB18" si="10">SUM(BB3:BB16)</f>
        <v>2</v>
      </c>
      <c r="BC18" s="143">
        <f t="shared" si="9"/>
        <v>2</v>
      </c>
      <c r="BD18" s="143"/>
      <c r="BE18" s="143"/>
      <c r="BF18" s="143"/>
      <c r="BG18" s="143"/>
      <c r="BH18" s="143">
        <f t="shared" ref="BH18:BM18" si="11">SUM(BH3:BH16)</f>
        <v>0</v>
      </c>
      <c r="BI18" s="143"/>
      <c r="BJ18" s="143">
        <f t="shared" si="11"/>
        <v>2</v>
      </c>
      <c r="BK18" s="143">
        <f t="shared" si="11"/>
        <v>1</v>
      </c>
      <c r="BL18" s="141">
        <f t="shared" si="11"/>
        <v>31</v>
      </c>
      <c r="BM18" s="141">
        <f t="shared" si="11"/>
        <v>-31</v>
      </c>
      <c r="BN18" s="209"/>
    </row>
    <row r="19" spans="1:76" ht="13.8" hidden="1" x14ac:dyDescent="0.3">
      <c r="A19" s="172" t="s">
        <v>39</v>
      </c>
      <c r="B19" s="146"/>
      <c r="C19" s="30"/>
      <c r="D19" s="30"/>
      <c r="E19" s="31"/>
      <c r="F19" s="30"/>
      <c r="G19" s="237"/>
      <c r="H19" s="30"/>
      <c r="I19" s="237"/>
      <c r="J19" s="237"/>
      <c r="K19" s="237"/>
      <c r="L19" s="238"/>
      <c r="M19" s="238"/>
      <c r="N19" s="239"/>
      <c r="O19" s="143">
        <f t="shared" ref="O19:AT19" si="12">SUM(O4:O17)</f>
        <v>0</v>
      </c>
      <c r="P19" s="143">
        <f t="shared" si="12"/>
        <v>1</v>
      </c>
      <c r="Q19" s="143">
        <f t="shared" si="12"/>
        <v>0</v>
      </c>
      <c r="R19" s="143">
        <f t="shared" si="12"/>
        <v>1</v>
      </c>
      <c r="S19" s="143">
        <f t="shared" si="12"/>
        <v>1</v>
      </c>
      <c r="T19" s="143">
        <f t="shared" si="12"/>
        <v>1</v>
      </c>
      <c r="U19" s="143">
        <f t="shared" si="12"/>
        <v>2</v>
      </c>
      <c r="V19" s="143">
        <f t="shared" si="12"/>
        <v>2</v>
      </c>
      <c r="W19" s="143">
        <f t="shared" si="12"/>
        <v>0</v>
      </c>
      <c r="X19" s="143">
        <f t="shared" si="12"/>
        <v>0</v>
      </c>
      <c r="Y19" s="143">
        <f t="shared" si="12"/>
        <v>1</v>
      </c>
      <c r="Z19" s="143">
        <f t="shared" si="12"/>
        <v>0</v>
      </c>
      <c r="AA19" s="143">
        <f t="shared" si="12"/>
        <v>0</v>
      </c>
      <c r="AB19" s="143">
        <f t="shared" si="12"/>
        <v>0</v>
      </c>
      <c r="AC19" s="143">
        <f t="shared" si="12"/>
        <v>0</v>
      </c>
      <c r="AD19" s="143">
        <f t="shared" si="12"/>
        <v>0</v>
      </c>
      <c r="AE19" s="143">
        <f t="shared" si="12"/>
        <v>2</v>
      </c>
      <c r="AF19" s="143">
        <f t="shared" si="12"/>
        <v>0</v>
      </c>
      <c r="AG19" s="143">
        <f t="shared" si="12"/>
        <v>1</v>
      </c>
      <c r="AH19" s="143">
        <f t="shared" si="12"/>
        <v>0</v>
      </c>
      <c r="AI19" s="143">
        <f t="shared" si="12"/>
        <v>0</v>
      </c>
      <c r="AJ19" s="143">
        <f t="shared" si="12"/>
        <v>0</v>
      </c>
      <c r="AK19" s="143">
        <f t="shared" si="12"/>
        <v>0</v>
      </c>
      <c r="AL19" s="143">
        <f t="shared" si="12"/>
        <v>0</v>
      </c>
      <c r="AM19" s="143">
        <f t="shared" si="12"/>
        <v>0</v>
      </c>
      <c r="AN19" s="143">
        <f t="shared" si="12"/>
        <v>0</v>
      </c>
      <c r="AO19" s="143">
        <f t="shared" si="12"/>
        <v>0</v>
      </c>
      <c r="AP19" s="143">
        <f t="shared" si="12"/>
        <v>1</v>
      </c>
      <c r="AQ19" s="143">
        <f t="shared" si="12"/>
        <v>0</v>
      </c>
      <c r="AR19" s="143">
        <f t="shared" si="12"/>
        <v>0</v>
      </c>
      <c r="AS19" s="141">
        <f t="shared" si="12"/>
        <v>0</v>
      </c>
      <c r="AT19" s="141">
        <f t="shared" si="12"/>
        <v>2</v>
      </c>
      <c r="AU19" s="141">
        <f t="shared" si="8"/>
        <v>2</v>
      </c>
      <c r="AV19" s="141"/>
      <c r="AW19" s="141"/>
      <c r="AX19" s="141">
        <f t="shared" si="9"/>
        <v>0</v>
      </c>
      <c r="AY19" s="141"/>
      <c r="AZ19" s="141"/>
      <c r="BA19" s="141"/>
      <c r="BB19" s="141">
        <f t="shared" ref="BB19" si="13">SUM(BB4:BB17)</f>
        <v>2</v>
      </c>
      <c r="BC19" s="141">
        <f t="shared" si="9"/>
        <v>2</v>
      </c>
      <c r="BD19" s="141"/>
      <c r="BE19" s="141"/>
      <c r="BF19" s="141"/>
      <c r="BG19" s="141"/>
      <c r="BH19" s="141">
        <f t="shared" ref="BH19:BK26" si="14">SUM(BH4:BH17)</f>
        <v>0</v>
      </c>
      <c r="BI19" s="141"/>
      <c r="BJ19" s="141">
        <f t="shared" si="14"/>
        <v>2</v>
      </c>
      <c r="BK19" s="141">
        <f t="shared" si="14"/>
        <v>1</v>
      </c>
      <c r="BL19" s="141" t="e">
        <f>SUMPRODUCT($L$3:$L$47,BL3:BL16)</f>
        <v>#VALUE!</v>
      </c>
      <c r="BM19" s="141"/>
      <c r="BN19" s="209"/>
      <c r="BO19" s="6"/>
      <c r="BP19" s="6"/>
      <c r="BQ19" s="6"/>
      <c r="BR19" s="6"/>
      <c r="BS19" s="6"/>
      <c r="BT19" s="6"/>
      <c r="BU19" s="6"/>
      <c r="BV19" s="6"/>
      <c r="BW19" s="6"/>
      <c r="BX19" s="6"/>
    </row>
    <row r="20" spans="1:76" ht="13.8" hidden="1" x14ac:dyDescent="0.3">
      <c r="A20" s="172" t="s">
        <v>54</v>
      </c>
      <c r="B20" s="146"/>
      <c r="C20" s="30"/>
      <c r="D20" s="30"/>
      <c r="E20" s="31"/>
      <c r="F20" s="30"/>
      <c r="G20" s="237"/>
      <c r="H20" s="30"/>
      <c r="I20" s="237"/>
      <c r="J20" s="237"/>
      <c r="K20" s="237"/>
      <c r="L20" s="238"/>
      <c r="M20" s="238"/>
      <c r="N20" s="239"/>
      <c r="O20" s="143">
        <f t="shared" ref="O20:AT20" si="15">SUM(O5:O18)</f>
        <v>0</v>
      </c>
      <c r="P20" s="143">
        <f t="shared" si="15"/>
        <v>2</v>
      </c>
      <c r="Q20" s="143">
        <f t="shared" si="15"/>
        <v>0</v>
      </c>
      <c r="R20" s="143">
        <f t="shared" si="15"/>
        <v>2</v>
      </c>
      <c r="S20" s="143">
        <f t="shared" si="15"/>
        <v>2</v>
      </c>
      <c r="T20" s="143">
        <f t="shared" si="15"/>
        <v>2</v>
      </c>
      <c r="U20" s="143">
        <f t="shared" si="15"/>
        <v>4</v>
      </c>
      <c r="V20" s="143">
        <f t="shared" si="15"/>
        <v>4</v>
      </c>
      <c r="W20" s="143">
        <f t="shared" si="15"/>
        <v>0</v>
      </c>
      <c r="X20" s="143">
        <f t="shared" si="15"/>
        <v>0</v>
      </c>
      <c r="Y20" s="143">
        <f t="shared" si="15"/>
        <v>2</v>
      </c>
      <c r="Z20" s="143">
        <f t="shared" si="15"/>
        <v>0</v>
      </c>
      <c r="AA20" s="143">
        <f t="shared" si="15"/>
        <v>0</v>
      </c>
      <c r="AB20" s="143">
        <f t="shared" si="15"/>
        <v>0</v>
      </c>
      <c r="AC20" s="143">
        <f t="shared" si="15"/>
        <v>0</v>
      </c>
      <c r="AD20" s="143">
        <f t="shared" si="15"/>
        <v>0</v>
      </c>
      <c r="AE20" s="143">
        <f t="shared" si="15"/>
        <v>4</v>
      </c>
      <c r="AF20" s="143">
        <f t="shared" si="15"/>
        <v>0</v>
      </c>
      <c r="AG20" s="143">
        <f t="shared" si="15"/>
        <v>2</v>
      </c>
      <c r="AH20" s="143">
        <f t="shared" si="15"/>
        <v>0</v>
      </c>
      <c r="AI20" s="143">
        <f t="shared" si="15"/>
        <v>0</v>
      </c>
      <c r="AJ20" s="143">
        <f t="shared" si="15"/>
        <v>0</v>
      </c>
      <c r="AK20" s="143">
        <f t="shared" si="15"/>
        <v>0</v>
      </c>
      <c r="AL20" s="143">
        <f t="shared" si="15"/>
        <v>0</v>
      </c>
      <c r="AM20" s="143">
        <f t="shared" si="15"/>
        <v>0</v>
      </c>
      <c r="AN20" s="143">
        <f t="shared" si="15"/>
        <v>0</v>
      </c>
      <c r="AO20" s="143">
        <f t="shared" si="15"/>
        <v>0</v>
      </c>
      <c r="AP20" s="143">
        <f t="shared" si="15"/>
        <v>2</v>
      </c>
      <c r="AQ20" s="143">
        <f t="shared" si="15"/>
        <v>0</v>
      </c>
      <c r="AR20" s="143">
        <f t="shared" si="15"/>
        <v>0</v>
      </c>
      <c r="AS20" s="141">
        <f t="shared" si="15"/>
        <v>0</v>
      </c>
      <c r="AT20" s="141">
        <f t="shared" si="15"/>
        <v>4</v>
      </c>
      <c r="AU20" s="141">
        <f t="shared" si="8"/>
        <v>4</v>
      </c>
      <c r="AV20" s="141"/>
      <c r="AW20" s="141"/>
      <c r="AX20" s="141">
        <f t="shared" si="9"/>
        <v>0</v>
      </c>
      <c r="AY20" s="141"/>
      <c r="AZ20" s="141"/>
      <c r="BA20" s="141"/>
      <c r="BB20" s="141">
        <f t="shared" ref="BB20" si="16">SUM(BB5:BB18)</f>
        <v>4</v>
      </c>
      <c r="BC20" s="141">
        <f t="shared" si="9"/>
        <v>4</v>
      </c>
      <c r="BD20" s="141"/>
      <c r="BE20" s="141"/>
      <c r="BF20" s="141"/>
      <c r="BG20" s="141"/>
      <c r="BH20" s="141">
        <f t="shared" si="14"/>
        <v>0</v>
      </c>
      <c r="BI20" s="141"/>
      <c r="BJ20" s="141">
        <f t="shared" si="14"/>
        <v>4</v>
      </c>
      <c r="BK20" s="141">
        <f t="shared" si="14"/>
        <v>2</v>
      </c>
      <c r="BL20" s="139" t="e">
        <f>SUMPRODUCT($H$3:$H$47,$N$3:$N$47,BL3:BL16)</f>
        <v>#VALUE!</v>
      </c>
      <c r="BM20" s="139"/>
      <c r="BN20" s="209"/>
      <c r="BO20" s="6"/>
      <c r="BP20" s="6"/>
      <c r="BQ20" s="6"/>
      <c r="BR20" s="6"/>
      <c r="BS20" s="6"/>
      <c r="BT20" s="6"/>
      <c r="BU20" s="6"/>
      <c r="BV20" s="6"/>
      <c r="BW20" s="6"/>
      <c r="BX20" s="6"/>
    </row>
    <row r="21" spans="1:76" ht="13.8" hidden="1" x14ac:dyDescent="0.3">
      <c r="A21" s="172" t="s">
        <v>36</v>
      </c>
      <c r="B21" s="146"/>
      <c r="C21" s="30"/>
      <c r="D21" s="30"/>
      <c r="E21" s="31"/>
      <c r="F21" s="30"/>
      <c r="G21" s="237"/>
      <c r="H21" s="30"/>
      <c r="I21" s="237"/>
      <c r="J21" s="237"/>
      <c r="K21" s="237"/>
      <c r="L21" s="238"/>
      <c r="M21" s="238"/>
      <c r="N21" s="239"/>
      <c r="O21" s="143">
        <f t="shared" ref="O21:AT21" si="17">SUM(O6:O19)</f>
        <v>0</v>
      </c>
      <c r="P21" s="143">
        <f t="shared" si="17"/>
        <v>3</v>
      </c>
      <c r="Q21" s="143">
        <f t="shared" si="17"/>
        <v>0</v>
      </c>
      <c r="R21" s="143">
        <f t="shared" si="17"/>
        <v>3</v>
      </c>
      <c r="S21" s="143">
        <f t="shared" si="17"/>
        <v>3</v>
      </c>
      <c r="T21" s="143">
        <f t="shared" si="17"/>
        <v>3</v>
      </c>
      <c r="U21" s="143">
        <f t="shared" si="17"/>
        <v>6</v>
      </c>
      <c r="V21" s="143">
        <f t="shared" si="17"/>
        <v>4</v>
      </c>
      <c r="W21" s="143">
        <f t="shared" si="17"/>
        <v>0</v>
      </c>
      <c r="X21" s="143">
        <f t="shared" si="17"/>
        <v>0</v>
      </c>
      <c r="Y21" s="143">
        <f t="shared" si="17"/>
        <v>3</v>
      </c>
      <c r="Z21" s="143">
        <f t="shared" si="17"/>
        <v>0</v>
      </c>
      <c r="AA21" s="143">
        <f t="shared" si="17"/>
        <v>0</v>
      </c>
      <c r="AB21" s="143">
        <f t="shared" si="17"/>
        <v>0</v>
      </c>
      <c r="AC21" s="143">
        <f t="shared" si="17"/>
        <v>0</v>
      </c>
      <c r="AD21" s="143">
        <f t="shared" si="17"/>
        <v>0</v>
      </c>
      <c r="AE21" s="143">
        <f t="shared" si="17"/>
        <v>6</v>
      </c>
      <c r="AF21" s="143">
        <f t="shared" si="17"/>
        <v>0</v>
      </c>
      <c r="AG21" s="143">
        <f t="shared" si="17"/>
        <v>3</v>
      </c>
      <c r="AH21" s="143">
        <f t="shared" si="17"/>
        <v>0</v>
      </c>
      <c r="AI21" s="143">
        <f t="shared" si="17"/>
        <v>0</v>
      </c>
      <c r="AJ21" s="143">
        <f t="shared" si="17"/>
        <v>0</v>
      </c>
      <c r="AK21" s="143">
        <f t="shared" si="17"/>
        <v>0</v>
      </c>
      <c r="AL21" s="143">
        <f t="shared" si="17"/>
        <v>0</v>
      </c>
      <c r="AM21" s="143">
        <f t="shared" si="17"/>
        <v>0</v>
      </c>
      <c r="AN21" s="143">
        <f t="shared" si="17"/>
        <v>0</v>
      </c>
      <c r="AO21" s="143">
        <f t="shared" si="17"/>
        <v>0</v>
      </c>
      <c r="AP21" s="143">
        <f t="shared" si="17"/>
        <v>3</v>
      </c>
      <c r="AQ21" s="143">
        <f t="shared" si="17"/>
        <v>0</v>
      </c>
      <c r="AR21" s="143">
        <f t="shared" si="17"/>
        <v>0</v>
      </c>
      <c r="AS21" s="141">
        <f t="shared" si="17"/>
        <v>0</v>
      </c>
      <c r="AT21" s="141">
        <f t="shared" si="17"/>
        <v>6</v>
      </c>
      <c r="AU21" s="141">
        <f t="shared" si="8"/>
        <v>6</v>
      </c>
      <c r="AV21" s="141"/>
      <c r="AW21" s="141"/>
      <c r="AX21" s="141">
        <f t="shared" si="9"/>
        <v>0</v>
      </c>
      <c r="AY21" s="141"/>
      <c r="AZ21" s="141"/>
      <c r="BA21" s="141"/>
      <c r="BB21" s="141">
        <f t="shared" ref="BB21" si="18">SUM(BB6:BB19)</f>
        <v>6</v>
      </c>
      <c r="BC21" s="141">
        <f t="shared" si="9"/>
        <v>6</v>
      </c>
      <c r="BD21" s="141"/>
      <c r="BE21" s="141"/>
      <c r="BF21" s="141"/>
      <c r="BG21" s="141"/>
      <c r="BH21" s="141">
        <f t="shared" si="14"/>
        <v>0</v>
      </c>
      <c r="BI21" s="141"/>
      <c r="BJ21" s="141">
        <f t="shared" si="14"/>
        <v>5</v>
      </c>
      <c r="BK21" s="141">
        <f t="shared" si="14"/>
        <v>3</v>
      </c>
      <c r="BL21" s="141">
        <f>DSUM($D$2:$BL$47,$K$2,BL27:BL28)</f>
        <v>0</v>
      </c>
      <c r="BM21" s="139"/>
      <c r="BN21" s="209"/>
      <c r="BO21" s="6"/>
      <c r="BP21" s="6"/>
      <c r="BQ21" s="6"/>
      <c r="BR21" s="6"/>
      <c r="BS21" s="6"/>
      <c r="BT21" s="6"/>
      <c r="BU21" s="6"/>
      <c r="BV21" s="6"/>
      <c r="BW21" s="6"/>
      <c r="BX21" s="6"/>
    </row>
    <row r="22" spans="1:76" ht="13.8" hidden="1" x14ac:dyDescent="0.3">
      <c r="A22" s="172" t="s">
        <v>138</v>
      </c>
      <c r="B22" s="153"/>
      <c r="C22" s="153"/>
      <c r="D22" s="153"/>
      <c r="E22" s="153"/>
      <c r="F22" s="153"/>
      <c r="G22" s="240"/>
      <c r="H22" s="153"/>
      <c r="I22" s="240"/>
      <c r="J22" s="240"/>
      <c r="K22" s="240"/>
      <c r="L22" s="240"/>
      <c r="M22" s="240"/>
      <c r="N22" s="241"/>
      <c r="O22" s="143">
        <f t="shared" ref="O22:AT22" si="19">SUM(O7:O20)</f>
        <v>0</v>
      </c>
      <c r="P22" s="143">
        <f t="shared" si="19"/>
        <v>5</v>
      </c>
      <c r="Q22" s="143">
        <f t="shared" si="19"/>
        <v>0</v>
      </c>
      <c r="R22" s="143">
        <f t="shared" si="19"/>
        <v>5</v>
      </c>
      <c r="S22" s="143">
        <f t="shared" si="19"/>
        <v>5</v>
      </c>
      <c r="T22" s="143">
        <f t="shared" si="19"/>
        <v>5</v>
      </c>
      <c r="U22" s="143">
        <f t="shared" si="19"/>
        <v>10</v>
      </c>
      <c r="V22" s="143">
        <f t="shared" si="19"/>
        <v>8</v>
      </c>
      <c r="W22" s="143">
        <f t="shared" si="19"/>
        <v>0</v>
      </c>
      <c r="X22" s="143">
        <f t="shared" si="19"/>
        <v>0</v>
      </c>
      <c r="Y22" s="143">
        <f t="shared" si="19"/>
        <v>5</v>
      </c>
      <c r="Z22" s="143">
        <f t="shared" si="19"/>
        <v>0</v>
      </c>
      <c r="AA22" s="143">
        <f t="shared" si="19"/>
        <v>0</v>
      </c>
      <c r="AB22" s="143">
        <f t="shared" si="19"/>
        <v>0</v>
      </c>
      <c r="AC22" s="143">
        <f t="shared" si="19"/>
        <v>0</v>
      </c>
      <c r="AD22" s="143">
        <f t="shared" si="19"/>
        <v>0</v>
      </c>
      <c r="AE22" s="143">
        <f t="shared" si="19"/>
        <v>10</v>
      </c>
      <c r="AF22" s="143">
        <f t="shared" si="19"/>
        <v>0</v>
      </c>
      <c r="AG22" s="143">
        <f t="shared" si="19"/>
        <v>5</v>
      </c>
      <c r="AH22" s="143">
        <f t="shared" si="19"/>
        <v>0</v>
      </c>
      <c r="AI22" s="143">
        <f t="shared" si="19"/>
        <v>0</v>
      </c>
      <c r="AJ22" s="143">
        <f t="shared" si="19"/>
        <v>0</v>
      </c>
      <c r="AK22" s="143">
        <f t="shared" si="19"/>
        <v>0</v>
      </c>
      <c r="AL22" s="143">
        <f t="shared" si="19"/>
        <v>0</v>
      </c>
      <c r="AM22" s="143">
        <f t="shared" si="19"/>
        <v>0</v>
      </c>
      <c r="AN22" s="143">
        <f t="shared" si="19"/>
        <v>0</v>
      </c>
      <c r="AO22" s="143">
        <f t="shared" si="19"/>
        <v>0</v>
      </c>
      <c r="AP22" s="143">
        <f t="shared" si="19"/>
        <v>5</v>
      </c>
      <c r="AQ22" s="143">
        <f t="shared" si="19"/>
        <v>0</v>
      </c>
      <c r="AR22" s="143">
        <f t="shared" si="19"/>
        <v>0</v>
      </c>
      <c r="AS22" s="141">
        <f t="shared" si="19"/>
        <v>0</v>
      </c>
      <c r="AT22" s="141">
        <f t="shared" si="19"/>
        <v>10</v>
      </c>
      <c r="AU22" s="141">
        <f t="shared" si="8"/>
        <v>8</v>
      </c>
      <c r="AV22" s="141"/>
      <c r="AW22" s="141"/>
      <c r="AX22" s="141">
        <f t="shared" si="9"/>
        <v>0</v>
      </c>
      <c r="AY22" s="141"/>
      <c r="AZ22" s="141"/>
      <c r="BA22" s="141"/>
      <c r="BB22" s="141">
        <f t="shared" ref="BB22" si="20">SUM(BB7:BB20)</f>
        <v>10</v>
      </c>
      <c r="BC22" s="141">
        <f t="shared" si="9"/>
        <v>9</v>
      </c>
      <c r="BD22" s="141"/>
      <c r="BE22" s="141"/>
      <c r="BF22" s="141"/>
      <c r="BG22" s="141"/>
      <c r="BH22" s="141">
        <f t="shared" si="14"/>
        <v>0</v>
      </c>
      <c r="BI22" s="141"/>
      <c r="BJ22" s="141">
        <f t="shared" si="14"/>
        <v>9</v>
      </c>
      <c r="BK22" s="141">
        <f t="shared" si="14"/>
        <v>4</v>
      </c>
      <c r="BL22" s="142" t="e">
        <f t="shared" ref="BL22" si="21">SUM(BL19:BL21)</f>
        <v>#VALUE!</v>
      </c>
      <c r="BM22" s="140"/>
      <c r="BN22" s="209"/>
      <c r="BO22" s="6"/>
      <c r="BP22" s="6"/>
      <c r="BQ22" s="6"/>
      <c r="BR22" s="6"/>
      <c r="BS22" s="6"/>
      <c r="BT22" s="6"/>
      <c r="BU22" s="6"/>
      <c r="BV22" s="6"/>
      <c r="BW22" s="6"/>
      <c r="BX22" s="6"/>
    </row>
    <row r="23" spans="1:76" ht="13.8" hidden="1" x14ac:dyDescent="0.3">
      <c r="A23" s="172" t="s">
        <v>139</v>
      </c>
      <c r="B23" s="153"/>
      <c r="C23" s="153"/>
      <c r="D23" s="153"/>
      <c r="E23" s="153"/>
      <c r="F23" s="153"/>
      <c r="G23" s="240"/>
      <c r="H23" s="153"/>
      <c r="I23" s="240"/>
      <c r="J23" s="240"/>
      <c r="K23" s="240"/>
      <c r="L23" s="240"/>
      <c r="M23" s="240"/>
      <c r="N23" s="241"/>
      <c r="O23" s="143">
        <f t="shared" ref="O23:AT23" si="22">SUM(O8:O21)</f>
        <v>0</v>
      </c>
      <c r="P23" s="143">
        <f t="shared" si="22"/>
        <v>8</v>
      </c>
      <c r="Q23" s="143">
        <f t="shared" si="22"/>
        <v>0</v>
      </c>
      <c r="R23" s="143">
        <f t="shared" si="22"/>
        <v>8</v>
      </c>
      <c r="S23" s="143">
        <f t="shared" si="22"/>
        <v>8</v>
      </c>
      <c r="T23" s="143">
        <f t="shared" si="22"/>
        <v>8</v>
      </c>
      <c r="U23" s="143">
        <f t="shared" si="22"/>
        <v>16</v>
      </c>
      <c r="V23" s="143">
        <f t="shared" si="22"/>
        <v>12</v>
      </c>
      <c r="W23" s="143">
        <f t="shared" si="22"/>
        <v>0</v>
      </c>
      <c r="X23" s="143">
        <f t="shared" si="22"/>
        <v>0</v>
      </c>
      <c r="Y23" s="143">
        <f t="shared" si="22"/>
        <v>8</v>
      </c>
      <c r="Z23" s="143">
        <f t="shared" si="22"/>
        <v>0</v>
      </c>
      <c r="AA23" s="143">
        <f t="shared" si="22"/>
        <v>0</v>
      </c>
      <c r="AB23" s="143">
        <f t="shared" si="22"/>
        <v>0</v>
      </c>
      <c r="AC23" s="143">
        <f t="shared" si="22"/>
        <v>0</v>
      </c>
      <c r="AD23" s="143">
        <f t="shared" si="22"/>
        <v>0</v>
      </c>
      <c r="AE23" s="143">
        <f t="shared" si="22"/>
        <v>15</v>
      </c>
      <c r="AF23" s="143">
        <f t="shared" si="22"/>
        <v>0</v>
      </c>
      <c r="AG23" s="143">
        <f t="shared" si="22"/>
        <v>7</v>
      </c>
      <c r="AH23" s="143">
        <f t="shared" si="22"/>
        <v>0</v>
      </c>
      <c r="AI23" s="143">
        <f t="shared" si="22"/>
        <v>0</v>
      </c>
      <c r="AJ23" s="143">
        <f t="shared" si="22"/>
        <v>0</v>
      </c>
      <c r="AK23" s="143">
        <f t="shared" si="22"/>
        <v>0</v>
      </c>
      <c r="AL23" s="143">
        <f t="shared" si="22"/>
        <v>0</v>
      </c>
      <c r="AM23" s="143">
        <f t="shared" si="22"/>
        <v>0</v>
      </c>
      <c r="AN23" s="143">
        <f t="shared" si="22"/>
        <v>0</v>
      </c>
      <c r="AO23" s="143">
        <f t="shared" si="22"/>
        <v>0</v>
      </c>
      <c r="AP23" s="143">
        <f t="shared" si="22"/>
        <v>8</v>
      </c>
      <c r="AQ23" s="143">
        <f t="shared" si="22"/>
        <v>0</v>
      </c>
      <c r="AR23" s="143">
        <f t="shared" si="22"/>
        <v>0</v>
      </c>
      <c r="AS23" s="141">
        <f t="shared" si="22"/>
        <v>0</v>
      </c>
      <c r="AT23" s="141">
        <f t="shared" si="22"/>
        <v>15</v>
      </c>
      <c r="AU23" s="141">
        <f t="shared" si="8"/>
        <v>14</v>
      </c>
      <c r="AV23" s="141"/>
      <c r="AW23" s="141"/>
      <c r="AX23" s="141">
        <f t="shared" si="9"/>
        <v>0</v>
      </c>
      <c r="AY23" s="141"/>
      <c r="AZ23" s="141"/>
      <c r="BA23" s="141"/>
      <c r="BB23" s="141">
        <f t="shared" ref="BB23" si="23">SUM(BB8:BB21)</f>
        <v>15</v>
      </c>
      <c r="BC23" s="141">
        <f t="shared" si="9"/>
        <v>15</v>
      </c>
      <c r="BD23" s="141"/>
      <c r="BE23" s="141"/>
      <c r="BF23" s="141"/>
      <c r="BG23" s="141"/>
      <c r="BH23" s="141">
        <f t="shared" si="14"/>
        <v>0</v>
      </c>
      <c r="BI23" s="141"/>
      <c r="BJ23" s="141">
        <f t="shared" si="14"/>
        <v>14</v>
      </c>
      <c r="BK23" s="141">
        <f t="shared" si="14"/>
        <v>7</v>
      </c>
      <c r="BL23" s="142"/>
      <c r="BM23" s="140"/>
      <c r="BN23" s="209"/>
      <c r="BO23" s="6"/>
      <c r="BP23" s="6"/>
      <c r="BQ23" s="6"/>
      <c r="BR23" s="6"/>
      <c r="BS23" s="6"/>
      <c r="BT23" s="6"/>
      <c r="BU23" s="6"/>
      <c r="BV23" s="6"/>
      <c r="BW23" s="6"/>
      <c r="BX23" s="6"/>
    </row>
    <row r="24" spans="1:76" ht="13.8" hidden="1" x14ac:dyDescent="0.3">
      <c r="A24" s="171" t="s">
        <v>140</v>
      </c>
      <c r="B24" s="169"/>
      <c r="C24" s="169"/>
      <c r="D24" s="169"/>
      <c r="E24" s="169"/>
      <c r="F24" s="169"/>
      <c r="G24" s="242"/>
      <c r="H24" s="169"/>
      <c r="I24" s="242"/>
      <c r="J24" s="242"/>
      <c r="K24" s="242"/>
      <c r="L24" s="242"/>
      <c r="M24" s="242"/>
      <c r="N24" s="243"/>
      <c r="O24" s="143">
        <f t="shared" ref="O24:AT24" si="24">SUM(O9:O22)</f>
        <v>0</v>
      </c>
      <c r="P24" s="143">
        <f t="shared" si="24"/>
        <v>13</v>
      </c>
      <c r="Q24" s="143">
        <f t="shared" si="24"/>
        <v>0</v>
      </c>
      <c r="R24" s="143">
        <f t="shared" si="24"/>
        <v>13</v>
      </c>
      <c r="S24" s="143">
        <f t="shared" si="24"/>
        <v>13</v>
      </c>
      <c r="T24" s="143">
        <f t="shared" si="24"/>
        <v>13</v>
      </c>
      <c r="U24" s="143">
        <f t="shared" si="24"/>
        <v>25</v>
      </c>
      <c r="V24" s="143">
        <f t="shared" si="24"/>
        <v>20</v>
      </c>
      <c r="W24" s="143">
        <f t="shared" si="24"/>
        <v>0</v>
      </c>
      <c r="X24" s="143">
        <f t="shared" si="24"/>
        <v>0</v>
      </c>
      <c r="Y24" s="143">
        <f t="shared" si="24"/>
        <v>13</v>
      </c>
      <c r="Z24" s="143">
        <f t="shared" si="24"/>
        <v>0</v>
      </c>
      <c r="AA24" s="143">
        <f t="shared" si="24"/>
        <v>0</v>
      </c>
      <c r="AB24" s="143">
        <f t="shared" si="24"/>
        <v>0</v>
      </c>
      <c r="AC24" s="143">
        <f t="shared" si="24"/>
        <v>0</v>
      </c>
      <c r="AD24" s="143">
        <f t="shared" si="24"/>
        <v>0</v>
      </c>
      <c r="AE24" s="143">
        <f t="shared" si="24"/>
        <v>25</v>
      </c>
      <c r="AF24" s="143">
        <f t="shared" si="24"/>
        <v>0</v>
      </c>
      <c r="AG24" s="143">
        <f t="shared" si="24"/>
        <v>12</v>
      </c>
      <c r="AH24" s="143">
        <f t="shared" si="24"/>
        <v>0</v>
      </c>
      <c r="AI24" s="143">
        <f t="shared" si="24"/>
        <v>0</v>
      </c>
      <c r="AJ24" s="143">
        <f t="shared" si="24"/>
        <v>0</v>
      </c>
      <c r="AK24" s="143">
        <f t="shared" si="24"/>
        <v>0</v>
      </c>
      <c r="AL24" s="143">
        <f t="shared" si="24"/>
        <v>0</v>
      </c>
      <c r="AM24" s="143">
        <f t="shared" si="24"/>
        <v>0</v>
      </c>
      <c r="AN24" s="143">
        <f t="shared" si="24"/>
        <v>0</v>
      </c>
      <c r="AO24" s="143">
        <f t="shared" si="24"/>
        <v>0</v>
      </c>
      <c r="AP24" s="143">
        <f t="shared" si="24"/>
        <v>13</v>
      </c>
      <c r="AQ24" s="143">
        <f t="shared" si="24"/>
        <v>0</v>
      </c>
      <c r="AR24" s="143">
        <f t="shared" si="24"/>
        <v>0</v>
      </c>
      <c r="AS24" s="141">
        <f t="shared" si="24"/>
        <v>0</v>
      </c>
      <c r="AT24" s="141">
        <f t="shared" si="24"/>
        <v>25</v>
      </c>
      <c r="AU24" s="141">
        <f t="shared" si="8"/>
        <v>22</v>
      </c>
      <c r="AV24" s="141"/>
      <c r="AW24" s="141"/>
      <c r="AX24" s="141">
        <f t="shared" si="9"/>
        <v>0</v>
      </c>
      <c r="AY24" s="141"/>
      <c r="AZ24" s="141"/>
      <c r="BA24" s="141"/>
      <c r="BB24" s="141">
        <f t="shared" ref="BB24" si="25">SUM(BB9:BB22)</f>
        <v>24</v>
      </c>
      <c r="BC24" s="141">
        <f t="shared" si="9"/>
        <v>23</v>
      </c>
      <c r="BD24" s="141"/>
      <c r="BE24" s="141"/>
      <c r="BF24" s="141"/>
      <c r="BG24" s="141"/>
      <c r="BH24" s="141">
        <f t="shared" si="14"/>
        <v>0</v>
      </c>
      <c r="BI24" s="141"/>
      <c r="BJ24" s="141">
        <f t="shared" si="14"/>
        <v>23</v>
      </c>
      <c r="BK24" s="141">
        <f t="shared" si="14"/>
        <v>11</v>
      </c>
      <c r="BL24" s="142"/>
      <c r="BM24" s="140"/>
      <c r="BN24" s="209"/>
      <c r="BO24" s="6"/>
      <c r="BP24" s="6"/>
      <c r="BQ24" s="6"/>
      <c r="BR24" s="6"/>
      <c r="BS24" s="6"/>
      <c r="BT24" s="6"/>
      <c r="BU24" s="6"/>
      <c r="BV24" s="6"/>
      <c r="BW24" s="6"/>
      <c r="BX24" s="6"/>
    </row>
    <row r="25" spans="1:76" ht="13.8" hidden="1" x14ac:dyDescent="0.3">
      <c r="A25" s="171" t="s">
        <v>141</v>
      </c>
      <c r="B25" s="169"/>
      <c r="C25" s="169"/>
      <c r="D25" s="169"/>
      <c r="E25" s="169"/>
      <c r="F25" s="169"/>
      <c r="G25" s="242"/>
      <c r="H25" s="169"/>
      <c r="I25" s="242"/>
      <c r="J25" s="242"/>
      <c r="K25" s="242"/>
      <c r="L25" s="242"/>
      <c r="M25" s="242"/>
      <c r="N25" s="243"/>
      <c r="O25" s="143">
        <f t="shared" ref="O25:AT25" si="26">SUM(O10:O23)</f>
        <v>0</v>
      </c>
      <c r="P25" s="143">
        <f t="shared" si="26"/>
        <v>21</v>
      </c>
      <c r="Q25" s="143">
        <f t="shared" si="26"/>
        <v>0</v>
      </c>
      <c r="R25" s="143">
        <f t="shared" si="26"/>
        <v>21</v>
      </c>
      <c r="S25" s="143">
        <f t="shared" si="26"/>
        <v>21</v>
      </c>
      <c r="T25" s="143">
        <f t="shared" si="26"/>
        <v>21</v>
      </c>
      <c r="U25" s="143">
        <f t="shared" si="26"/>
        <v>41</v>
      </c>
      <c r="V25" s="143">
        <f t="shared" si="26"/>
        <v>32</v>
      </c>
      <c r="W25" s="143">
        <f t="shared" si="26"/>
        <v>0</v>
      </c>
      <c r="X25" s="143">
        <f t="shared" si="26"/>
        <v>0</v>
      </c>
      <c r="Y25" s="143">
        <f t="shared" si="26"/>
        <v>21</v>
      </c>
      <c r="Z25" s="143">
        <f t="shared" si="26"/>
        <v>0</v>
      </c>
      <c r="AA25" s="143">
        <f t="shared" si="26"/>
        <v>0</v>
      </c>
      <c r="AB25" s="143">
        <f t="shared" si="26"/>
        <v>0</v>
      </c>
      <c r="AC25" s="143">
        <f t="shared" si="26"/>
        <v>0</v>
      </c>
      <c r="AD25" s="143">
        <f t="shared" si="26"/>
        <v>0</v>
      </c>
      <c r="AE25" s="143">
        <f t="shared" si="26"/>
        <v>40</v>
      </c>
      <c r="AF25" s="143">
        <f t="shared" si="26"/>
        <v>0</v>
      </c>
      <c r="AG25" s="143">
        <f t="shared" si="26"/>
        <v>19</v>
      </c>
      <c r="AH25" s="143">
        <f t="shared" si="26"/>
        <v>0</v>
      </c>
      <c r="AI25" s="143">
        <f t="shared" si="26"/>
        <v>0</v>
      </c>
      <c r="AJ25" s="143">
        <f t="shared" si="26"/>
        <v>0</v>
      </c>
      <c r="AK25" s="143">
        <f t="shared" si="26"/>
        <v>0</v>
      </c>
      <c r="AL25" s="143">
        <f t="shared" si="26"/>
        <v>0</v>
      </c>
      <c r="AM25" s="143">
        <f t="shared" si="26"/>
        <v>0</v>
      </c>
      <c r="AN25" s="143">
        <f t="shared" si="26"/>
        <v>0</v>
      </c>
      <c r="AO25" s="143">
        <f t="shared" si="26"/>
        <v>0</v>
      </c>
      <c r="AP25" s="143">
        <f t="shared" si="26"/>
        <v>21</v>
      </c>
      <c r="AQ25" s="143">
        <f t="shared" si="26"/>
        <v>0</v>
      </c>
      <c r="AR25" s="143">
        <f t="shared" si="26"/>
        <v>0</v>
      </c>
      <c r="AS25" s="141">
        <f t="shared" si="26"/>
        <v>0</v>
      </c>
      <c r="AT25" s="141">
        <f t="shared" si="26"/>
        <v>40</v>
      </c>
      <c r="AU25" s="141">
        <f t="shared" si="8"/>
        <v>36</v>
      </c>
      <c r="AV25" s="141"/>
      <c r="AW25" s="141"/>
      <c r="AX25" s="141">
        <f t="shared" si="9"/>
        <v>0</v>
      </c>
      <c r="AY25" s="141"/>
      <c r="AZ25" s="141"/>
      <c r="BA25" s="141"/>
      <c r="BB25" s="141">
        <f t="shared" ref="BB25" si="27">SUM(BB10:BB23)</f>
        <v>39</v>
      </c>
      <c r="BC25" s="141">
        <f t="shared" si="9"/>
        <v>38</v>
      </c>
      <c r="BD25" s="141"/>
      <c r="BE25" s="141"/>
      <c r="BF25" s="141"/>
      <c r="BG25" s="141"/>
      <c r="BH25" s="141">
        <f t="shared" si="14"/>
        <v>0</v>
      </c>
      <c r="BI25" s="141"/>
      <c r="BJ25" s="141">
        <f t="shared" si="14"/>
        <v>37</v>
      </c>
      <c r="BK25" s="141">
        <f t="shared" si="14"/>
        <v>18</v>
      </c>
      <c r="BL25" s="142"/>
      <c r="BM25" s="140"/>
      <c r="BN25" s="209"/>
      <c r="BO25" s="6"/>
      <c r="BP25" s="6"/>
      <c r="BQ25" s="6"/>
      <c r="BR25" s="6"/>
      <c r="BS25" s="6"/>
      <c r="BT25" s="6"/>
      <c r="BU25" s="6"/>
      <c r="BV25" s="6"/>
      <c r="BW25" s="6"/>
      <c r="BX25" s="6"/>
    </row>
    <row r="26" spans="1:76" ht="13.8" hidden="1" x14ac:dyDescent="0.3">
      <c r="A26" s="171" t="s">
        <v>142</v>
      </c>
      <c r="B26" s="169"/>
      <c r="C26" s="169"/>
      <c r="D26" s="169"/>
      <c r="E26" s="169"/>
      <c r="F26" s="169"/>
      <c r="G26" s="242"/>
      <c r="H26" s="169"/>
      <c r="I26" s="242"/>
      <c r="J26" s="242"/>
      <c r="K26" s="242"/>
      <c r="L26" s="242"/>
      <c r="M26" s="242"/>
      <c r="N26" s="243"/>
      <c r="O26" s="143">
        <f t="shared" ref="O26:AT26" si="28">SUM(O11:O24)</f>
        <v>0</v>
      </c>
      <c r="P26" s="143">
        <f t="shared" si="28"/>
        <v>33</v>
      </c>
      <c r="Q26" s="143">
        <f t="shared" si="28"/>
        <v>0</v>
      </c>
      <c r="R26" s="143">
        <f t="shared" si="28"/>
        <v>34</v>
      </c>
      <c r="S26" s="143">
        <f t="shared" si="28"/>
        <v>33</v>
      </c>
      <c r="T26" s="143">
        <f t="shared" si="28"/>
        <v>33</v>
      </c>
      <c r="U26" s="143">
        <f t="shared" si="28"/>
        <v>65</v>
      </c>
      <c r="V26" s="143">
        <f t="shared" si="28"/>
        <v>52</v>
      </c>
      <c r="W26" s="143">
        <f t="shared" si="28"/>
        <v>0</v>
      </c>
      <c r="X26" s="143">
        <f t="shared" si="28"/>
        <v>0</v>
      </c>
      <c r="Y26" s="143">
        <f t="shared" si="28"/>
        <v>34</v>
      </c>
      <c r="Z26" s="143">
        <f t="shared" si="28"/>
        <v>0</v>
      </c>
      <c r="AA26" s="143">
        <f t="shared" si="28"/>
        <v>0</v>
      </c>
      <c r="AB26" s="143">
        <f t="shared" si="28"/>
        <v>0</v>
      </c>
      <c r="AC26" s="143">
        <f t="shared" si="28"/>
        <v>0</v>
      </c>
      <c r="AD26" s="143">
        <f t="shared" si="28"/>
        <v>0</v>
      </c>
      <c r="AE26" s="143">
        <f t="shared" si="28"/>
        <v>64</v>
      </c>
      <c r="AF26" s="143">
        <f t="shared" si="28"/>
        <v>0</v>
      </c>
      <c r="AG26" s="143">
        <f t="shared" si="28"/>
        <v>31</v>
      </c>
      <c r="AH26" s="143">
        <f t="shared" si="28"/>
        <v>0</v>
      </c>
      <c r="AI26" s="143">
        <f t="shared" si="28"/>
        <v>0</v>
      </c>
      <c r="AJ26" s="143">
        <f t="shared" si="28"/>
        <v>0</v>
      </c>
      <c r="AK26" s="143">
        <f t="shared" si="28"/>
        <v>0</v>
      </c>
      <c r="AL26" s="143">
        <f t="shared" si="28"/>
        <v>0</v>
      </c>
      <c r="AM26" s="143">
        <f t="shared" si="28"/>
        <v>0</v>
      </c>
      <c r="AN26" s="143">
        <f t="shared" si="28"/>
        <v>0</v>
      </c>
      <c r="AO26" s="143">
        <f t="shared" si="28"/>
        <v>0</v>
      </c>
      <c r="AP26" s="143">
        <f t="shared" si="28"/>
        <v>33</v>
      </c>
      <c r="AQ26" s="143">
        <f t="shared" si="28"/>
        <v>0</v>
      </c>
      <c r="AR26" s="143">
        <f t="shared" si="28"/>
        <v>0</v>
      </c>
      <c r="AS26" s="141">
        <f t="shared" si="28"/>
        <v>0</v>
      </c>
      <c r="AT26" s="141">
        <f t="shared" si="28"/>
        <v>65</v>
      </c>
      <c r="AU26" s="141">
        <f t="shared" si="8"/>
        <v>58</v>
      </c>
      <c r="AV26" s="141"/>
      <c r="AW26" s="141"/>
      <c r="AX26" s="141">
        <f t="shared" si="9"/>
        <v>0</v>
      </c>
      <c r="AY26" s="141"/>
      <c r="AZ26" s="141"/>
      <c r="BA26" s="141"/>
      <c r="BB26" s="141">
        <f t="shared" ref="BB26" si="29">SUM(BB11:BB24)</f>
        <v>63</v>
      </c>
      <c r="BC26" s="141">
        <f t="shared" si="9"/>
        <v>61</v>
      </c>
      <c r="BD26" s="141"/>
      <c r="BE26" s="141"/>
      <c r="BF26" s="141"/>
      <c r="BG26" s="141"/>
      <c r="BH26" s="141">
        <f t="shared" si="14"/>
        <v>0</v>
      </c>
      <c r="BI26" s="141"/>
      <c r="BJ26" s="141">
        <f t="shared" si="14"/>
        <v>59</v>
      </c>
      <c r="BK26" s="141">
        <f t="shared" si="14"/>
        <v>29</v>
      </c>
      <c r="BL26" s="142"/>
      <c r="BM26" s="140"/>
      <c r="BN26" s="209"/>
      <c r="BO26" s="6"/>
      <c r="BP26" s="6"/>
      <c r="BQ26" s="6"/>
      <c r="BR26" s="6"/>
      <c r="BS26" s="6"/>
      <c r="BT26" s="6"/>
      <c r="BU26" s="6"/>
      <c r="BV26" s="6"/>
      <c r="BW26" s="6"/>
      <c r="BX26" s="6"/>
    </row>
    <row r="27" spans="1:76" ht="13.8" hidden="1" x14ac:dyDescent="0.3">
      <c r="A27" s="148"/>
      <c r="B27" s="149"/>
      <c r="C27" s="134"/>
      <c r="D27" s="134"/>
      <c r="E27" s="135"/>
      <c r="F27" s="134"/>
      <c r="G27" s="234"/>
      <c r="H27" s="134"/>
      <c r="I27" s="234"/>
      <c r="J27" s="234"/>
      <c r="K27" s="234"/>
      <c r="L27" s="235"/>
      <c r="M27" s="235"/>
      <c r="N27" s="236"/>
      <c r="O27" s="144" t="s">
        <v>37</v>
      </c>
      <c r="P27" s="139" t="str">
        <f>P2</f>
        <v>Lbe</v>
      </c>
      <c r="Q27" s="139" t="str">
        <f t="shared" ref="Q27:AT27" si="30">Q2</f>
        <v>LB</v>
      </c>
      <c r="R27" s="139" t="str">
        <f t="shared" si="30"/>
        <v>Sca</v>
      </c>
      <c r="S27" s="139" t="str">
        <f t="shared" si="30"/>
        <v>TD</v>
      </c>
      <c r="T27" s="139" t="str">
        <f t="shared" si="30"/>
        <v>WvD</v>
      </c>
      <c r="U27" s="139" t="str">
        <f t="shared" si="30"/>
        <v>CE</v>
      </c>
      <c r="V27" s="139" t="str">
        <f t="shared" si="30"/>
        <v>AF</v>
      </c>
      <c r="W27" s="139" t="str">
        <f t="shared" si="30"/>
        <v>WG</v>
      </c>
      <c r="X27" s="139" t="str">
        <f t="shared" si="30"/>
        <v>TG</v>
      </c>
      <c r="Y27" s="139" t="str">
        <f t="shared" si="30"/>
        <v>RH</v>
      </c>
      <c r="Z27" s="139" t="str">
        <f t="shared" si="30"/>
        <v>CH</v>
      </c>
      <c r="AA27" s="139" t="str">
        <f t="shared" si="30"/>
        <v>KH</v>
      </c>
      <c r="AB27" s="139" t="str">
        <f t="shared" si="30"/>
        <v>MH</v>
      </c>
      <c r="AC27" s="139" t="str">
        <f t="shared" si="30"/>
        <v>MK</v>
      </c>
      <c r="AD27" s="139" t="str">
        <f t="shared" si="30"/>
        <v>VL</v>
      </c>
      <c r="AE27" s="139" t="str">
        <f t="shared" si="30"/>
        <v>EM</v>
      </c>
      <c r="AF27" s="139" t="str">
        <f t="shared" si="30"/>
        <v>DM</v>
      </c>
      <c r="AG27" s="139" t="str">
        <f t="shared" si="30"/>
        <v>JM</v>
      </c>
      <c r="AH27" s="139" t="str">
        <f t="shared" si="30"/>
        <v>UM</v>
      </c>
      <c r="AI27" s="139" t="str">
        <f t="shared" si="30"/>
        <v>AO</v>
      </c>
      <c r="AJ27" s="139" t="str">
        <f t="shared" si="30"/>
        <v>JvP</v>
      </c>
      <c r="AK27" s="139" t="str">
        <f t="shared" si="30"/>
        <v>CR</v>
      </c>
      <c r="AL27" s="139" t="str">
        <f t="shared" si="30"/>
        <v>IR</v>
      </c>
      <c r="AM27" s="139" t="str">
        <f t="shared" si="30"/>
        <v>JS</v>
      </c>
      <c r="AN27" s="139" t="str">
        <f t="shared" si="30"/>
        <v>BS</v>
      </c>
      <c r="AO27" s="139" t="str">
        <f t="shared" si="30"/>
        <v>MS</v>
      </c>
      <c r="AP27" s="139" t="str">
        <f t="shared" si="30"/>
        <v>PV</v>
      </c>
      <c r="AQ27" s="139" t="str">
        <f t="shared" si="30"/>
        <v>DV</v>
      </c>
      <c r="AR27" s="139" t="str">
        <f t="shared" si="30"/>
        <v>JW</v>
      </c>
      <c r="AS27" s="139" t="str">
        <f t="shared" si="30"/>
        <v>AW</v>
      </c>
      <c r="AT27" s="139" t="str">
        <f t="shared" si="30"/>
        <v>CYPL</v>
      </c>
      <c r="AU27" s="139" t="s">
        <v>37</v>
      </c>
      <c r="AV27" s="139"/>
      <c r="AW27" s="139"/>
      <c r="AX27" s="139" t="s">
        <v>37</v>
      </c>
      <c r="AY27" s="139"/>
      <c r="AZ27" s="139"/>
      <c r="BA27" s="139"/>
      <c r="BB27" s="139" t="s">
        <v>37</v>
      </c>
      <c r="BC27" s="139" t="s">
        <v>37</v>
      </c>
      <c r="BD27" s="139"/>
      <c r="BE27" s="139"/>
      <c r="BF27" s="139"/>
      <c r="BG27" s="139"/>
      <c r="BH27" s="139" t="s">
        <v>37</v>
      </c>
      <c r="BI27" s="139"/>
      <c r="BJ27" s="139" t="s">
        <v>37</v>
      </c>
      <c r="BK27" s="139" t="s">
        <v>37</v>
      </c>
      <c r="BL27" s="139" t="s">
        <v>37</v>
      </c>
      <c r="BM27" s="139"/>
      <c r="BN27" s="209"/>
      <c r="BO27" s="6"/>
      <c r="BP27" s="6"/>
      <c r="BQ27" s="6"/>
      <c r="BR27" s="6"/>
      <c r="BS27" s="6"/>
      <c r="BT27" s="6"/>
      <c r="BU27" s="6"/>
      <c r="BV27" s="6"/>
      <c r="BW27" s="6"/>
      <c r="BX27" s="6"/>
    </row>
    <row r="28" spans="1:76" ht="13.8" hidden="1" x14ac:dyDescent="0.3">
      <c r="A28" s="155"/>
      <c r="B28" s="156"/>
      <c r="C28" s="117"/>
      <c r="D28" s="117"/>
      <c r="E28" s="137"/>
      <c r="F28" s="117"/>
      <c r="G28" s="244"/>
      <c r="H28" s="117"/>
      <c r="I28" s="244"/>
      <c r="J28" s="244"/>
      <c r="K28" s="244"/>
      <c r="L28" s="245"/>
      <c r="M28" s="245"/>
      <c r="N28" s="246"/>
      <c r="O28" s="144" t="str">
        <f t="shared" ref="O28:AT28" si="31">O2</f>
        <v>FAC</v>
      </c>
      <c r="P28" s="144" t="str">
        <f t="shared" si="31"/>
        <v>Lbe</v>
      </c>
      <c r="Q28" s="144" t="str">
        <f t="shared" si="31"/>
        <v>LB</v>
      </c>
      <c r="R28" s="144" t="str">
        <f t="shared" si="31"/>
        <v>Sca</v>
      </c>
      <c r="S28" s="144" t="str">
        <f t="shared" si="31"/>
        <v>TD</v>
      </c>
      <c r="T28" s="144" t="str">
        <f t="shared" si="31"/>
        <v>WvD</v>
      </c>
      <c r="U28" s="144" t="str">
        <f t="shared" si="31"/>
        <v>CE</v>
      </c>
      <c r="V28" s="144" t="str">
        <f t="shared" si="31"/>
        <v>AF</v>
      </c>
      <c r="W28" s="144" t="str">
        <f t="shared" si="31"/>
        <v>WG</v>
      </c>
      <c r="X28" s="144" t="str">
        <f t="shared" si="31"/>
        <v>TG</v>
      </c>
      <c r="Y28" s="144" t="str">
        <f t="shared" si="31"/>
        <v>RH</v>
      </c>
      <c r="Z28" s="144" t="str">
        <f t="shared" si="31"/>
        <v>CH</v>
      </c>
      <c r="AA28" s="144" t="str">
        <f t="shared" si="31"/>
        <v>KH</v>
      </c>
      <c r="AB28" s="144" t="str">
        <f t="shared" si="31"/>
        <v>MH</v>
      </c>
      <c r="AC28" s="144" t="str">
        <f t="shared" si="31"/>
        <v>MK</v>
      </c>
      <c r="AD28" s="144" t="str">
        <f t="shared" si="31"/>
        <v>VL</v>
      </c>
      <c r="AE28" s="144" t="str">
        <f t="shared" si="31"/>
        <v>EM</v>
      </c>
      <c r="AF28" s="144" t="str">
        <f t="shared" si="31"/>
        <v>DM</v>
      </c>
      <c r="AG28" s="144" t="str">
        <f t="shared" si="31"/>
        <v>JM</v>
      </c>
      <c r="AH28" s="144" t="str">
        <f t="shared" si="31"/>
        <v>UM</v>
      </c>
      <c r="AI28" s="144" t="str">
        <f t="shared" si="31"/>
        <v>AO</v>
      </c>
      <c r="AJ28" s="144" t="str">
        <f t="shared" si="31"/>
        <v>JvP</v>
      </c>
      <c r="AK28" s="144" t="str">
        <f t="shared" si="31"/>
        <v>CR</v>
      </c>
      <c r="AL28" s="144" t="str">
        <f t="shared" si="31"/>
        <v>IR</v>
      </c>
      <c r="AM28" s="144" t="str">
        <f t="shared" si="31"/>
        <v>JS</v>
      </c>
      <c r="AN28" s="144" t="str">
        <f t="shared" si="31"/>
        <v>BS</v>
      </c>
      <c r="AO28" s="144" t="str">
        <f t="shared" si="31"/>
        <v>MS</v>
      </c>
      <c r="AP28" s="144" t="str">
        <f t="shared" si="31"/>
        <v>PV</v>
      </c>
      <c r="AQ28" s="144" t="str">
        <f t="shared" si="31"/>
        <v>DV</v>
      </c>
      <c r="AR28" s="144" t="str">
        <f t="shared" si="31"/>
        <v>JW</v>
      </c>
      <c r="AS28" s="139" t="str">
        <f t="shared" si="31"/>
        <v>AW</v>
      </c>
      <c r="AT28" s="139" t="str">
        <f t="shared" si="31"/>
        <v>CYPL</v>
      </c>
      <c r="AU28" s="139" t="str">
        <f>AU2</f>
        <v>JB/OBP</v>
      </c>
      <c r="AV28" s="139"/>
      <c r="AW28" s="139"/>
      <c r="AX28" s="139" t="str">
        <f>AX2</f>
        <v>XT/D4</v>
      </c>
      <c r="AY28" s="139"/>
      <c r="AZ28" s="139"/>
      <c r="BA28" s="139"/>
      <c r="BB28" s="139" t="e">
        <f>#REF!</f>
        <v>#REF!</v>
      </c>
      <c r="BC28" s="139" t="str">
        <f>BC2</f>
        <v>WH/D4</v>
      </c>
      <c r="BD28" s="139"/>
      <c r="BE28" s="139"/>
      <c r="BF28" s="139"/>
      <c r="BG28" s="139"/>
      <c r="BH28" s="139" t="str">
        <f t="shared" ref="BH28:BL28" si="32">BH2</f>
        <v>KK/D4</v>
      </c>
      <c r="BI28" s="139"/>
      <c r="BJ28" s="139" t="str">
        <f t="shared" si="32"/>
        <v>JvZ/D4</v>
      </c>
      <c r="BK28" s="139" t="str">
        <f t="shared" si="32"/>
        <v>WOS/OBP</v>
      </c>
      <c r="BL28" s="213" t="str">
        <f t="shared" si="32"/>
        <v>Total</v>
      </c>
      <c r="BM28" s="213"/>
      <c r="BN28" s="209"/>
    </row>
    <row r="29" spans="1:76" ht="13.8" hidden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179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79"/>
      <c r="BG29" s="179"/>
      <c r="BH29" s="179"/>
      <c r="BI29" s="179"/>
      <c r="BJ29" s="179"/>
      <c r="BK29" s="179">
        <v>4</v>
      </c>
      <c r="BL29" s="179"/>
      <c r="BM29" s="183"/>
      <c r="BN29" s="209"/>
    </row>
    <row r="30" spans="1:76" ht="13.8" hidden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179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79"/>
      <c r="BG30" s="179"/>
      <c r="BH30" s="179"/>
      <c r="BI30" s="179"/>
      <c r="BJ30" s="179"/>
      <c r="BK30" s="179"/>
      <c r="BL30" s="179"/>
      <c r="BM30" s="183"/>
      <c r="BN30" s="209"/>
    </row>
    <row r="31" spans="1:76" ht="14.4" hidden="1" x14ac:dyDescent="0.3">
      <c r="G31" s="21"/>
      <c r="I31" s="247"/>
      <c r="J31" s="21"/>
      <c r="K31" s="21"/>
      <c r="L31" s="248"/>
      <c r="M31" s="248"/>
      <c r="N31" s="21"/>
      <c r="AU31" s="179"/>
      <c r="AV31" s="179"/>
      <c r="AW31" s="179"/>
      <c r="AX31" s="179"/>
      <c r="AY31" s="179"/>
      <c r="AZ31" s="179"/>
      <c r="BA31" s="179"/>
      <c r="BB31" s="214"/>
      <c r="BC31" s="179"/>
      <c r="BD31" s="179"/>
      <c r="BE31" s="179"/>
      <c r="BF31" s="179"/>
      <c r="BG31" s="179"/>
      <c r="BH31" s="179"/>
      <c r="BI31" s="179"/>
      <c r="BJ31" s="214"/>
      <c r="BK31" s="214"/>
      <c r="BL31" s="179"/>
      <c r="BM31" s="183"/>
      <c r="BN31" s="209"/>
    </row>
    <row r="32" spans="1:76" ht="13.8" x14ac:dyDescent="0.3">
      <c r="A32" s="103" t="s">
        <v>27</v>
      </c>
      <c r="G32" s="21"/>
      <c r="I32" s="247"/>
      <c r="J32" s="21"/>
      <c r="K32" s="21"/>
      <c r="L32" s="248"/>
      <c r="M32" s="248"/>
      <c r="N32" s="21"/>
      <c r="AU32" s="179"/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79"/>
      <c r="BH32" s="179"/>
      <c r="BI32" s="179"/>
      <c r="BJ32" s="179"/>
      <c r="BK32" s="179"/>
      <c r="BL32" s="179"/>
      <c r="BM32" s="183"/>
      <c r="BN32" s="209"/>
    </row>
    <row r="33" spans="1:66" ht="13.8" x14ac:dyDescent="0.3">
      <c r="A33" s="104" t="s">
        <v>0</v>
      </c>
      <c r="G33" s="21"/>
      <c r="I33" s="247"/>
      <c r="J33" s="21"/>
      <c r="K33" s="21"/>
      <c r="L33" s="248"/>
      <c r="M33" s="248"/>
      <c r="N33" s="21"/>
      <c r="AU33" s="179"/>
      <c r="AV33" s="179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79"/>
      <c r="BH33" s="179"/>
      <c r="BI33" s="179"/>
      <c r="BJ33" s="179"/>
      <c r="BK33" s="179"/>
      <c r="BL33" s="179"/>
      <c r="BM33" s="183"/>
      <c r="BN33" s="209"/>
    </row>
    <row r="34" spans="1:66" ht="13.8" x14ac:dyDescent="0.3">
      <c r="A34" s="105" t="s">
        <v>28</v>
      </c>
      <c r="G34" s="21"/>
      <c r="I34" s="247"/>
      <c r="J34" s="21"/>
      <c r="K34" s="21"/>
      <c r="L34" s="248"/>
      <c r="M34" s="248"/>
      <c r="N34" s="21"/>
      <c r="AU34" s="179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179"/>
      <c r="BI34" s="179"/>
      <c r="BJ34" s="179"/>
      <c r="BK34" s="179"/>
      <c r="BL34" s="179"/>
      <c r="BM34" s="183"/>
      <c r="BN34" s="209"/>
    </row>
    <row r="35" spans="1:66" ht="14.4" x14ac:dyDescent="0.3">
      <c r="G35" s="21"/>
      <c r="I35" s="21"/>
      <c r="J35" s="21"/>
      <c r="K35" s="21"/>
      <c r="L35" s="248"/>
      <c r="M35" s="248"/>
      <c r="N35" s="21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79"/>
      <c r="BH35" s="214"/>
      <c r="BI35" s="214"/>
      <c r="BJ35" s="179"/>
      <c r="BK35" s="179"/>
      <c r="BL35" s="179"/>
      <c r="BM35" s="183"/>
      <c r="BN35" s="209"/>
    </row>
    <row r="36" spans="1:66" ht="13.8" x14ac:dyDescent="0.3">
      <c r="G36" s="21"/>
      <c r="I36" s="21"/>
      <c r="J36" s="21"/>
      <c r="K36" s="21"/>
      <c r="L36" s="248"/>
      <c r="M36" s="248"/>
      <c r="N36" s="21"/>
      <c r="AU36" s="179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9"/>
      <c r="BG36" s="179"/>
      <c r="BH36" s="179"/>
      <c r="BI36" s="179"/>
      <c r="BJ36" s="179"/>
      <c r="BK36" s="179"/>
      <c r="BL36" s="179"/>
      <c r="BM36" s="183"/>
      <c r="BN36" s="209"/>
    </row>
    <row r="37" spans="1:66" ht="13.8" x14ac:dyDescent="0.3">
      <c r="G37" s="21"/>
      <c r="I37" s="21"/>
      <c r="J37" s="21"/>
      <c r="K37" s="21"/>
      <c r="L37" s="248"/>
      <c r="M37" s="248"/>
      <c r="N37" s="21"/>
      <c r="AU37" s="179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79"/>
      <c r="BH37" s="179"/>
      <c r="BI37" s="179"/>
      <c r="BJ37" s="179"/>
      <c r="BK37" s="179"/>
      <c r="BL37" s="179"/>
      <c r="BM37" s="183"/>
      <c r="BN37" s="209"/>
    </row>
    <row r="38" spans="1:66" ht="14.4" x14ac:dyDescent="0.3">
      <c r="G38" s="21"/>
      <c r="I38" s="21"/>
      <c r="J38" s="21"/>
      <c r="K38" s="21"/>
      <c r="L38" s="248"/>
      <c r="M38" s="248"/>
      <c r="N38" s="21"/>
      <c r="AU38" s="214"/>
      <c r="AV38" s="214"/>
      <c r="AW38" s="214"/>
      <c r="AX38" s="214"/>
      <c r="AY38" s="214"/>
      <c r="AZ38" s="214"/>
      <c r="BA38" s="214"/>
      <c r="BB38" s="179"/>
      <c r="BC38" s="214"/>
      <c r="BD38" s="214"/>
      <c r="BE38" s="214"/>
      <c r="BF38" s="214"/>
      <c r="BG38" s="214"/>
      <c r="BH38" s="179"/>
      <c r="BI38" s="179"/>
      <c r="BJ38" s="179"/>
      <c r="BK38" s="179"/>
      <c r="BL38" s="179"/>
      <c r="BM38" s="183"/>
      <c r="BN38" s="209"/>
    </row>
    <row r="39" spans="1:66" ht="13.8" x14ac:dyDescent="0.3">
      <c r="G39" s="21"/>
      <c r="I39" s="21"/>
      <c r="J39" s="21"/>
      <c r="K39" s="21"/>
      <c r="L39" s="248"/>
      <c r="M39" s="248"/>
      <c r="N39" s="21"/>
      <c r="AU39" s="179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79"/>
      <c r="BK39" s="179"/>
      <c r="BL39" s="179"/>
      <c r="BM39" s="183"/>
      <c r="BN39" s="209"/>
    </row>
    <row r="40" spans="1:66" ht="13.8" x14ac:dyDescent="0.3">
      <c r="G40" s="21"/>
      <c r="I40" s="21"/>
      <c r="J40" s="21"/>
      <c r="K40" s="21"/>
      <c r="L40" s="248"/>
      <c r="M40" s="248"/>
      <c r="N40" s="21"/>
      <c r="AU40" s="179"/>
      <c r="AV40" s="179"/>
      <c r="AW40" s="179"/>
      <c r="AX40" s="179"/>
      <c r="AY40" s="179"/>
      <c r="AZ40" s="179"/>
      <c r="BA40" s="179"/>
      <c r="BB40" s="179"/>
      <c r="BC40" s="179"/>
      <c r="BD40" s="179"/>
      <c r="BE40" s="179"/>
      <c r="BF40" s="179"/>
      <c r="BG40" s="179"/>
      <c r="BH40" s="179"/>
      <c r="BI40" s="179"/>
      <c r="BJ40" s="179"/>
      <c r="BK40" s="179"/>
      <c r="BL40" s="179"/>
      <c r="BM40" s="183"/>
      <c r="BN40" s="209"/>
    </row>
    <row r="41" spans="1:66" ht="13.8" x14ac:dyDescent="0.3">
      <c r="G41" s="21"/>
      <c r="I41" s="21"/>
      <c r="J41" s="21"/>
      <c r="K41" s="21"/>
      <c r="L41" s="248"/>
      <c r="M41" s="248"/>
      <c r="N41" s="21"/>
      <c r="AU41" s="179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79"/>
      <c r="BG41" s="179"/>
      <c r="BH41" s="179"/>
      <c r="BI41" s="179"/>
      <c r="BJ41" s="179"/>
      <c r="BK41" s="179"/>
      <c r="BL41" s="179"/>
      <c r="BM41" s="183"/>
      <c r="BN41" s="209"/>
    </row>
    <row r="42" spans="1:66" ht="13.8" x14ac:dyDescent="0.3">
      <c r="G42" s="21"/>
      <c r="I42" s="21"/>
      <c r="J42" s="21"/>
      <c r="K42" s="21"/>
      <c r="L42" s="248"/>
      <c r="M42" s="248"/>
      <c r="N42" s="21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79"/>
      <c r="BH42" s="179"/>
      <c r="BI42" s="179"/>
      <c r="BJ42" s="179"/>
      <c r="BK42" s="179"/>
      <c r="BL42" s="179"/>
      <c r="BM42" s="183"/>
      <c r="BN42" s="209"/>
    </row>
    <row r="43" spans="1:66" ht="13.8" x14ac:dyDescent="0.3">
      <c r="G43" s="21"/>
      <c r="I43" s="21"/>
      <c r="J43" s="21"/>
      <c r="K43" s="21"/>
      <c r="L43" s="248"/>
      <c r="M43" s="248"/>
      <c r="N43" s="21"/>
      <c r="AU43" s="179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79"/>
      <c r="BG43" s="179"/>
      <c r="BH43" s="179"/>
      <c r="BI43" s="179"/>
      <c r="BJ43" s="179"/>
      <c r="BK43" s="179"/>
      <c r="BL43" s="179"/>
      <c r="BM43" s="183"/>
      <c r="BN43" s="209"/>
    </row>
    <row r="44" spans="1:66" ht="13.8" x14ac:dyDescent="0.3">
      <c r="G44" s="21"/>
      <c r="I44" s="21"/>
      <c r="J44" s="21"/>
      <c r="K44" s="21"/>
      <c r="L44" s="248"/>
      <c r="M44" s="248"/>
      <c r="N44" s="21"/>
      <c r="AU44" s="179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79"/>
      <c r="BG44" s="179"/>
      <c r="BH44" s="179"/>
      <c r="BI44" s="179"/>
      <c r="BJ44" s="179"/>
      <c r="BK44" s="179"/>
      <c r="BL44" s="179"/>
      <c r="BM44" s="183"/>
      <c r="BN44" s="209"/>
    </row>
    <row r="45" spans="1:66" ht="13.8" x14ac:dyDescent="0.3">
      <c r="G45" s="21"/>
      <c r="I45" s="21"/>
      <c r="J45" s="21"/>
      <c r="K45" s="21"/>
      <c r="L45" s="248"/>
      <c r="M45" s="248"/>
      <c r="N45" s="21"/>
      <c r="AU45" s="179"/>
      <c r="AV45" s="179"/>
      <c r="AW45" s="179"/>
      <c r="AX45" s="179"/>
      <c r="AY45" s="179"/>
      <c r="AZ45" s="179"/>
      <c r="BA45" s="179"/>
      <c r="BB45" s="179"/>
      <c r="BC45" s="179"/>
      <c r="BD45" s="179"/>
      <c r="BE45" s="179"/>
      <c r="BF45" s="179"/>
      <c r="BG45" s="179"/>
      <c r="BH45" s="179"/>
      <c r="BI45" s="179"/>
      <c r="BJ45" s="179"/>
      <c r="BK45" s="179"/>
      <c r="BL45" s="179"/>
      <c r="BM45" s="183"/>
      <c r="BN45" s="209"/>
    </row>
    <row r="46" spans="1:66" ht="13.8" x14ac:dyDescent="0.3">
      <c r="G46" s="21"/>
      <c r="I46" s="21"/>
      <c r="J46" s="21"/>
      <c r="K46" s="21"/>
      <c r="L46" s="248"/>
      <c r="M46" s="248"/>
      <c r="N46" s="21"/>
      <c r="BL46" s="179"/>
      <c r="BM46" s="183"/>
      <c r="BN46" s="209"/>
    </row>
    <row r="47" spans="1:66" x14ac:dyDescent="0.2">
      <c r="G47" s="21"/>
      <c r="BL47" s="215"/>
      <c r="BM47" s="215"/>
      <c r="BN47" s="6"/>
    </row>
    <row r="48" spans="1:66" x14ac:dyDescent="0.2">
      <c r="BN48" s="6"/>
    </row>
    <row r="49" spans="47:66" x14ac:dyDescent="0.2">
      <c r="BN49" s="6"/>
    </row>
    <row r="50" spans="47:66" x14ac:dyDescent="0.2">
      <c r="BN50" s="6"/>
    </row>
    <row r="51" spans="47:66" x14ac:dyDescent="0.2">
      <c r="BN51" s="6"/>
    </row>
    <row r="52" spans="47:66" x14ac:dyDescent="0.2">
      <c r="BN52" s="6"/>
    </row>
    <row r="53" spans="47:66" x14ac:dyDescent="0.2">
      <c r="BN53" s="158"/>
    </row>
    <row r="54" spans="47:66" x14ac:dyDescent="0.2">
      <c r="BN54" s="158"/>
    </row>
    <row r="55" spans="47:66" x14ac:dyDescent="0.2">
      <c r="BN55" s="158"/>
    </row>
    <row r="56" spans="47:66" x14ac:dyDescent="0.2">
      <c r="BN56" s="158"/>
    </row>
    <row r="57" spans="47:66" x14ac:dyDescent="0.2">
      <c r="BN57" s="158"/>
    </row>
    <row r="58" spans="47:66" x14ac:dyDescent="0.2">
      <c r="BN58" s="6"/>
    </row>
    <row r="59" spans="47:66" x14ac:dyDescent="0.2">
      <c r="BN59" s="6"/>
    </row>
    <row r="60" spans="47:66" x14ac:dyDescent="0.2"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N60" s="6"/>
    </row>
    <row r="61" spans="47:66" x14ac:dyDescent="0.2"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N61" s="6"/>
    </row>
    <row r="62" spans="47:66" x14ac:dyDescent="0.2">
      <c r="BN62" s="6"/>
    </row>
    <row r="63" spans="47:66" x14ac:dyDescent="0.2">
      <c r="BN63" s="6"/>
    </row>
    <row r="64" spans="47:66" x14ac:dyDescent="0.2">
      <c r="BN64" s="6"/>
    </row>
    <row r="65" spans="66:66" x14ac:dyDescent="0.2">
      <c r="BN65" s="6"/>
    </row>
    <row r="66" spans="66:66" x14ac:dyDescent="0.2">
      <c r="BN66" s="6"/>
    </row>
  </sheetData>
  <autoFilter ref="A3:BX3"/>
  <mergeCells count="1">
    <mergeCell ref="AU1:BK1"/>
  </mergeCells>
  <phoneticPr fontId="4" type="noConversion"/>
  <conditionalFormatting sqref="BN4">
    <cfRule type="containsText" dxfId="5" priority="5" operator="containsText" text="Oke">
      <formula>NOT(ISERROR(SEARCH("Oke",BN4)))</formula>
    </cfRule>
    <cfRule type="containsText" dxfId="4" priority="6" operator="containsText" text="Problem">
      <formula>NOT(ISERROR(SEARCH("Problem",BN4)))</formula>
    </cfRule>
    <cfRule type="colorScale" priority="7">
      <colorScale>
        <cfvo type="formula" val="$BN$4"/>
        <cfvo type="max"/>
        <color rgb="FF00B050"/>
        <color rgb="FFFF0000"/>
      </colorScale>
    </cfRule>
  </conditionalFormatting>
  <conditionalFormatting sqref="BN4:BN46">
    <cfRule type="containsText" dxfId="3" priority="3" operator="containsText" text="Oke">
      <formula>NOT(ISERROR(SEARCH("Oke",BN4)))</formula>
    </cfRule>
    <cfRule type="containsText" dxfId="2" priority="4" operator="containsText" text="Problem">
      <formula>NOT(ISERROR(SEARCH("Problem",BN4)))</formula>
    </cfRule>
  </conditionalFormatting>
  <conditionalFormatting sqref="BO4">
    <cfRule type="containsText" dxfId="1" priority="1" operator="containsText" text="Oke">
      <formula>NOT(ISERROR(SEARCH("Oke",BO4)))</formula>
    </cfRule>
    <cfRule type="containsText" dxfId="0" priority="2" operator="containsText" text="Problem">
      <formula>NOT(ISERROR(SEARCH("Problem",BO4)))</formula>
    </cfRule>
  </conditionalFormatting>
  <pageMargins left="0.35433070866141736" right="0.35433070866141736" top="0.39370078740157483" bottom="0.39370078740157483" header="0.51181102362204722" footer="0.51181102362204722"/>
  <pageSetup paperSize="9" scale="45" fitToHeight="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indexed="10"/>
    <pageSetUpPr fitToPage="1"/>
  </sheetPr>
  <dimension ref="A1:AX97"/>
  <sheetViews>
    <sheetView zoomScaleNormal="100" workbookViewId="0">
      <pane ySplit="1" topLeftCell="A68" activePane="bottomLeft" state="frozen"/>
      <selection activeCell="D19" sqref="D19"/>
      <selection pane="bottomLeft" activeCell="D49" sqref="D49"/>
    </sheetView>
  </sheetViews>
  <sheetFormatPr defaultColWidth="11.44140625" defaultRowHeight="13.2" outlineLevelRow="1" x14ac:dyDescent="0.25"/>
  <cols>
    <col min="1" max="1" width="27" style="34" customWidth="1"/>
    <col min="2" max="2" width="6.44140625" style="34" customWidth="1"/>
    <col min="3" max="3" width="12.33203125" style="34" customWidth="1"/>
    <col min="4" max="4" width="6.88671875" style="6" customWidth="1"/>
    <col min="5" max="5" width="6.88671875" style="34" customWidth="1"/>
    <col min="6" max="12" width="6.88671875" style="6" customWidth="1"/>
    <col min="13" max="15" width="6.88671875" style="34" customWidth="1"/>
    <col min="16" max="16" width="6.88671875" style="6" customWidth="1"/>
    <col min="17" max="17" width="6.88671875" style="34" customWidth="1"/>
    <col min="18" max="19" width="6.88671875" style="6" customWidth="1"/>
    <col min="20" max="21" width="6.88671875" style="34" customWidth="1"/>
    <col min="22" max="22" width="6.88671875" style="6" customWidth="1"/>
    <col min="23" max="23" width="6.88671875" style="34" customWidth="1"/>
    <col min="24" max="24" width="6.109375" style="34" bestFit="1" customWidth="1"/>
    <col min="25" max="25" width="6.109375" bestFit="1" customWidth="1"/>
    <col min="26" max="50" width="6.109375" style="34" bestFit="1" customWidth="1"/>
    <col min="51" max="16384" width="11.44140625" style="34"/>
  </cols>
  <sheetData>
    <row r="1" spans="1:50" ht="10.199999999999999" x14ac:dyDescent="0.2">
      <c r="A1" s="6"/>
      <c r="B1" s="6"/>
      <c r="C1" s="16" t="s">
        <v>152</v>
      </c>
      <c r="D1" s="16" t="s">
        <v>69</v>
      </c>
      <c r="E1" s="73" t="s">
        <v>145</v>
      </c>
      <c r="F1" s="16" t="s">
        <v>13</v>
      </c>
      <c r="G1" s="192" t="s">
        <v>14</v>
      </c>
      <c r="H1" s="16" t="s">
        <v>102</v>
      </c>
      <c r="I1" s="73" t="s">
        <v>129</v>
      </c>
      <c r="J1" s="16" t="s">
        <v>12</v>
      </c>
      <c r="K1" s="16" t="s">
        <v>33</v>
      </c>
      <c r="L1" s="16" t="s">
        <v>76</v>
      </c>
      <c r="M1" s="16" t="s">
        <v>146</v>
      </c>
      <c r="N1" s="16" t="s">
        <v>63</v>
      </c>
      <c r="O1" s="16" t="s">
        <v>78</v>
      </c>
      <c r="P1" s="73" t="s">
        <v>133</v>
      </c>
      <c r="Q1" s="73" t="s">
        <v>133</v>
      </c>
      <c r="R1" s="16" t="s">
        <v>128</v>
      </c>
      <c r="S1" s="16" t="s">
        <v>156</v>
      </c>
      <c r="T1" s="16" t="s">
        <v>158</v>
      </c>
      <c r="U1" s="16" t="s">
        <v>70</v>
      </c>
      <c r="V1" s="16" t="s">
        <v>77</v>
      </c>
      <c r="W1" s="73" t="s">
        <v>157</v>
      </c>
      <c r="X1" s="73" t="s">
        <v>149</v>
      </c>
      <c r="Y1" s="73" t="s">
        <v>80</v>
      </c>
      <c r="Z1" s="16" t="s">
        <v>100</v>
      </c>
      <c r="AA1" s="16" t="s">
        <v>29</v>
      </c>
      <c r="AB1" s="16" t="s">
        <v>62</v>
      </c>
      <c r="AC1" s="73" t="s">
        <v>134</v>
      </c>
      <c r="AD1" s="16" t="s">
        <v>35</v>
      </c>
      <c r="AE1" s="16" t="s">
        <v>75</v>
      </c>
      <c r="AF1" s="16" t="s">
        <v>127</v>
      </c>
      <c r="AG1" s="16" t="s">
        <v>147</v>
      </c>
      <c r="AH1" s="73" t="s">
        <v>101</v>
      </c>
      <c r="AI1" s="73" t="s">
        <v>148</v>
      </c>
      <c r="AJ1" s="198" t="s">
        <v>155</v>
      </c>
      <c r="AK1" s="198" t="s">
        <v>155</v>
      </c>
      <c r="AL1" s="198" t="s">
        <v>155</v>
      </c>
      <c r="AM1" s="198" t="s">
        <v>155</v>
      </c>
      <c r="AN1" s="198" t="s">
        <v>155</v>
      </c>
      <c r="AO1" s="198" t="s">
        <v>153</v>
      </c>
      <c r="AP1" s="199" t="s">
        <v>151</v>
      </c>
      <c r="AQ1" s="160" t="s">
        <v>150</v>
      </c>
      <c r="AR1" s="196" t="s">
        <v>29</v>
      </c>
      <c r="AS1" s="160" t="s">
        <v>144</v>
      </c>
      <c r="AT1" s="197" t="s">
        <v>154</v>
      </c>
      <c r="AU1" s="159" t="s">
        <v>143</v>
      </c>
      <c r="AV1" s="160" t="s">
        <v>131</v>
      </c>
      <c r="AW1" s="160" t="s">
        <v>132</v>
      </c>
      <c r="AX1" s="200" t="s">
        <v>130</v>
      </c>
    </row>
    <row r="2" spans="1:50" outlineLevel="1" x14ac:dyDescent="0.25">
      <c r="A2" s="38" t="s">
        <v>38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50" ht="10.199999999999999" outlineLevel="1" x14ac:dyDescent="0.2">
      <c r="A3" s="34" t="s">
        <v>10</v>
      </c>
      <c r="C3" s="107" t="e">
        <f ca="1">OFFSET('PERIOD 1'!#REF!,MATCH($A3,'PERIOD 1'!$A$46:$A$56,0),MATCH(C$1,'PERIOD 1'!$O$2:$AU$2,0))</f>
        <v>#REF!</v>
      </c>
      <c r="D3" s="107" t="e">
        <f ca="1">OFFSET('PERIOD 1'!#REF!,MATCH($A3,'PERIOD 1'!$A$46:$A$56,0),MATCH(D$1,'PERIOD 1'!$O$2:$AU$2,0))</f>
        <v>#REF!</v>
      </c>
      <c r="E3" s="107" t="e">
        <f ca="1">OFFSET('PERIOD 1'!#REF!,MATCH($A3,'PERIOD 1'!$A$46:$A$56,0),MATCH(E$1,'PERIOD 1'!$O$2:$AU$2,0))</f>
        <v>#REF!</v>
      </c>
      <c r="F3" s="107" t="e">
        <f ca="1">OFFSET('PERIOD 1'!#REF!,MATCH($A3,'PERIOD 1'!$A$46:$A$56,0),MATCH(F$1,'PERIOD 1'!$O$2:$AU$2,0))</f>
        <v>#REF!</v>
      </c>
      <c r="G3" s="107" t="e">
        <f ca="1">OFFSET('PERIOD 1'!#REF!,MATCH($A3,'PERIOD 1'!$A$46:$A$56,0),MATCH(G$1,'PERIOD 1'!$O$2:$AU$2,0))</f>
        <v>#REF!</v>
      </c>
      <c r="H3" s="107" t="e">
        <f ca="1">OFFSET('PERIOD 1'!#REF!,MATCH($A3,'PERIOD 1'!$A$46:$A$56,0),MATCH(H$1,'PERIOD 1'!$O$2:$AU$2,0))</f>
        <v>#REF!</v>
      </c>
      <c r="I3" s="107" t="e">
        <f ca="1">OFFSET('PERIOD 1'!#REF!,MATCH($A3,'PERIOD 1'!$A$46:$A$56,0),MATCH(I$1,'PERIOD 1'!$O$2:$AU$2,0))</f>
        <v>#REF!</v>
      </c>
      <c r="J3" s="107" t="e">
        <f ca="1">OFFSET('PERIOD 1'!#REF!,MATCH($A3,'PERIOD 1'!$A$46:$A$56,0),MATCH(J$1,'PERIOD 1'!$O$2:$AU$2,0))</f>
        <v>#REF!</v>
      </c>
      <c r="K3" s="107" t="e">
        <f ca="1">OFFSET('PERIOD 1'!#REF!,MATCH($A3,'PERIOD 1'!$A$46:$A$56,0),MATCH(K$1,'PERIOD 1'!$O$2:$AU$2,0))</f>
        <v>#REF!</v>
      </c>
      <c r="L3" s="107" t="e">
        <f ca="1">OFFSET('PERIOD 1'!#REF!,MATCH($A3,'PERIOD 1'!$A$46:$A$56,0),MATCH(L$1,'PERIOD 1'!$O$2:$AU$2,0))</f>
        <v>#REF!</v>
      </c>
      <c r="M3" s="107" t="e">
        <f ca="1">OFFSET('PERIOD 1'!#REF!,MATCH($A3,'PERIOD 1'!$A$46:$A$56,0),MATCH(M$1,'PERIOD 1'!$O$2:$AU$2,0))</f>
        <v>#REF!</v>
      </c>
      <c r="N3" s="107" t="e">
        <f ca="1">OFFSET('PERIOD 1'!#REF!,MATCH($A3,'PERIOD 1'!$A$46:$A$56,0),MATCH(N$1,'PERIOD 1'!$O$2:$AU$2,0))</f>
        <v>#REF!</v>
      </c>
      <c r="O3" s="107" t="e">
        <f ca="1">OFFSET('PERIOD 1'!#REF!,MATCH($A3,'PERIOD 1'!$A$46:$A$56,0),MATCH(O$1,'PERIOD 1'!$O$2:$AU$2,0))</f>
        <v>#REF!</v>
      </c>
      <c r="P3" s="107" t="e">
        <f ca="1">OFFSET('PERIOD 1'!#REF!,MATCH($A3,'PERIOD 1'!$A$46:$A$56,0),MATCH(P$1,'PERIOD 1'!$O$2:$AU$2,0))</f>
        <v>#REF!</v>
      </c>
      <c r="Q3" s="107" t="e">
        <f ca="1">OFFSET('PERIOD 1'!#REF!,MATCH($A3,'PERIOD 1'!$A$46:$A$56,0),MATCH(Q$1,'PERIOD 1'!$O$2:$AU$2,0))</f>
        <v>#REF!</v>
      </c>
      <c r="R3" s="107" t="e">
        <f ca="1">OFFSET('PERIOD 1'!#REF!,MATCH($A3,'PERIOD 1'!$A$46:$A$56,0),MATCH(R$1,'PERIOD 1'!$O$2:$AU$2,0))</f>
        <v>#REF!</v>
      </c>
      <c r="S3" s="107" t="e">
        <f ca="1">OFFSET('PERIOD 1'!#REF!,MATCH($A3,'PERIOD 1'!$A$46:$A$56,0),MATCH(S$1,'PERIOD 1'!$O$2:$AU$2,0))</f>
        <v>#REF!</v>
      </c>
      <c r="T3" s="107" t="e">
        <f ca="1">OFFSET('PERIOD 1'!#REF!,MATCH($A3,'PERIOD 1'!$A$46:$A$56,0),MATCH(T$1,'PERIOD 1'!$O$2:$AU$2,0))</f>
        <v>#REF!</v>
      </c>
      <c r="U3" s="107" t="e">
        <f ca="1">OFFSET('PERIOD 1'!#REF!,MATCH($A3,'PERIOD 1'!$A$46:$A$56,0),MATCH(U$1,'PERIOD 1'!$O$2:$AU$2,0))</f>
        <v>#REF!</v>
      </c>
      <c r="V3" s="107" t="e">
        <f ca="1">OFFSET('PERIOD 1'!#REF!,MATCH($A3,'PERIOD 1'!$A$46:$A$56,0),MATCH(V$1,'PERIOD 1'!$O$2:$AU$2,0))</f>
        <v>#REF!</v>
      </c>
      <c r="W3" s="107" t="e">
        <f ca="1">OFFSET('PERIOD 1'!#REF!,MATCH($A3,'PERIOD 1'!$A$46:$A$56,0),MATCH(W$1,'PERIOD 1'!$O$2:$AU$2,0))</f>
        <v>#REF!</v>
      </c>
      <c r="X3" s="107" t="e">
        <f ca="1">OFFSET('PERIOD 1'!#REF!,MATCH($A3,'PERIOD 1'!$A$46:$A$56,0),MATCH(X$1,'PERIOD 1'!$O$2:$AU$2,0))</f>
        <v>#REF!</v>
      </c>
      <c r="Y3" s="107" t="e">
        <f ca="1">OFFSET('PERIOD 1'!#REF!,MATCH($A3,'PERIOD 1'!$A$46:$A$56,0),MATCH(Y$1,'PERIOD 1'!$O$2:$AU$2,0))</f>
        <v>#REF!</v>
      </c>
      <c r="Z3" s="107" t="e">
        <f ca="1">OFFSET('PERIOD 1'!#REF!,MATCH($A3,'PERIOD 1'!$A$46:$A$56,0),MATCH(Z$1,'PERIOD 1'!$O$2:$AU$2,0))</f>
        <v>#REF!</v>
      </c>
      <c r="AA3" s="107" t="e">
        <f ca="1">OFFSET('PERIOD 1'!#REF!,MATCH($A3,'PERIOD 1'!$A$46:$A$56,0),MATCH(AA$1,'PERIOD 1'!$O$2:$AU$2,0))</f>
        <v>#REF!</v>
      </c>
      <c r="AB3" s="107" t="e">
        <f ca="1">OFFSET('PERIOD 1'!#REF!,MATCH($A3,'PERIOD 1'!$A$46:$A$56,0),MATCH(AB$1,'PERIOD 1'!$O$2:$AU$2,0))</f>
        <v>#REF!</v>
      </c>
      <c r="AC3" s="107" t="e">
        <f ca="1">OFFSET('PERIOD 1'!#REF!,MATCH($A3,'PERIOD 1'!$A$46:$A$56,0),MATCH(AC$1,'PERIOD 1'!$O$2:$AU$2,0))</f>
        <v>#REF!</v>
      </c>
      <c r="AD3" s="107" t="e">
        <f ca="1">OFFSET('PERIOD 1'!#REF!,MATCH($A3,'PERIOD 1'!$A$46:$A$56,0),MATCH(AD$1,'PERIOD 1'!$O$2:$AU$2,0))</f>
        <v>#REF!</v>
      </c>
      <c r="AE3" s="107" t="e">
        <f ca="1">OFFSET('PERIOD 1'!#REF!,MATCH($A3,'PERIOD 1'!$A$46:$A$56,0),MATCH(AE$1,'PERIOD 1'!$O$2:$AU$2,0))</f>
        <v>#REF!</v>
      </c>
      <c r="AF3" s="107" t="e">
        <f ca="1">OFFSET('PERIOD 1'!#REF!,MATCH($A3,'PERIOD 1'!$A$46:$A$56,0),MATCH(AF$1,'PERIOD 1'!$O$2:$AU$2,0))</f>
        <v>#REF!</v>
      </c>
      <c r="AG3" s="107" t="e">
        <f ca="1">OFFSET('PERIOD 1'!#REF!,MATCH($A3,'PERIOD 1'!$A$46:$A$56,0),MATCH(AG$1,'PERIOD 1'!$O$2:$AU$2,0))</f>
        <v>#REF!</v>
      </c>
      <c r="AH3" s="107" t="e">
        <f ca="1">OFFSET('PERIOD 1'!#REF!,MATCH($A3,'PERIOD 1'!$A$46:$A$56,0),MATCH(AH$1,'PERIOD 1'!$O$2:$AU$2,0))</f>
        <v>#REF!</v>
      </c>
      <c r="AI3" s="107" t="e">
        <f ca="1">OFFSET('PERIOD 1'!#REF!,MATCH($A3,'PERIOD 1'!$A$46:$A$56,0),MATCH(AI$1,'PERIOD 1'!$O$2:$AU$2,0))</f>
        <v>#REF!</v>
      </c>
      <c r="AJ3" s="107" t="e">
        <f ca="1">OFFSET('PERIOD 1'!#REF!,MATCH($A3,'PERIOD 1'!$A$46:$A$56,0),MATCH(AJ$1,'PERIOD 1'!$O$2:$AU$2,0))</f>
        <v>#REF!</v>
      </c>
      <c r="AK3" s="107" t="e">
        <f ca="1">OFFSET('PERIOD 1'!#REF!,MATCH($A3,'PERIOD 1'!$A$46:$A$56,0),MATCH(AK$1,'PERIOD 1'!$O$2:$AU$2,0))</f>
        <v>#REF!</v>
      </c>
      <c r="AL3" s="107" t="e">
        <f ca="1">OFFSET('PERIOD 1'!#REF!,MATCH($A3,'PERIOD 1'!$A$46:$A$56,0),MATCH(AL$1,'PERIOD 1'!$O$2:$AU$2,0))</f>
        <v>#REF!</v>
      </c>
      <c r="AM3" s="107" t="e">
        <f ca="1">OFFSET('PERIOD 1'!#REF!,MATCH($A3,'PERIOD 1'!$A$46:$A$56,0),MATCH(AM$1,'PERIOD 1'!$O$2:$AU$2,0))</f>
        <v>#REF!</v>
      </c>
      <c r="AN3" s="107" t="e">
        <f ca="1">OFFSET('PERIOD 1'!#REF!,MATCH($A3,'PERIOD 1'!$A$46:$A$56,0),MATCH(AN$1,'PERIOD 1'!$O$2:$AU$2,0))</f>
        <v>#REF!</v>
      </c>
      <c r="AO3" s="107" t="e">
        <f ca="1">OFFSET('PERIOD 1'!#REF!,MATCH($A3,'PERIOD 1'!$A$46:$A$56,0),MATCH(AO$1,'PERIOD 1'!$O$2:$AU$2,0))</f>
        <v>#REF!</v>
      </c>
      <c r="AP3" s="107" t="e">
        <f ca="1">OFFSET('PERIOD 1'!#REF!,MATCH($A3,'PERIOD 1'!$A$46:$A$56,0),MATCH(AP$1,'PERIOD 1'!$O$2:$AU$2,0))</f>
        <v>#REF!</v>
      </c>
      <c r="AQ3" s="107" t="e">
        <f ca="1">OFFSET('PERIOD 1'!#REF!,MATCH($A3,'PERIOD 1'!$A$46:$A$56,0),MATCH(AQ$1,'PERIOD 1'!$O$2:$AU$2,0))</f>
        <v>#REF!</v>
      </c>
      <c r="AR3" s="107" t="e">
        <f ca="1">OFFSET('PERIOD 1'!#REF!,MATCH($A3,'PERIOD 1'!$A$46:$A$56,0),MATCH(AR$1,'PERIOD 1'!$O$2:$AU$2,0))</f>
        <v>#REF!</v>
      </c>
      <c r="AS3" s="107" t="e">
        <f ca="1">OFFSET('PERIOD 1'!#REF!,MATCH($A3,'PERIOD 1'!$A$46:$A$56,0),MATCH(AS$1,'PERIOD 1'!$O$2:$AU$2,0))</f>
        <v>#REF!</v>
      </c>
      <c r="AT3" s="107" t="e">
        <f ca="1">OFFSET('PERIOD 1'!#REF!,MATCH($A3,'PERIOD 1'!$A$46:$A$56,0),MATCH(AT$1,'PERIOD 1'!$O$2:$AU$2,0))</f>
        <v>#REF!</v>
      </c>
      <c r="AU3" s="107" t="e">
        <f ca="1">OFFSET('PERIOD 1'!#REF!,MATCH($A3,'PERIOD 1'!$A$46:$A$56,0),MATCH(AU$1,'PERIOD 1'!$O$2:$AU$2,0))</f>
        <v>#REF!</v>
      </c>
      <c r="AV3" s="107" t="e">
        <f ca="1">OFFSET('PERIOD 1'!#REF!,MATCH($A3,'PERIOD 1'!$A$46:$A$56,0),MATCH(AV$1,'PERIOD 1'!$O$2:$AU$2,0))</f>
        <v>#REF!</v>
      </c>
      <c r="AW3" s="107" t="e">
        <f ca="1">OFFSET('PERIOD 1'!#REF!,MATCH($A3,'PERIOD 1'!$A$46:$A$56,0),MATCH(AW$1,'PERIOD 1'!$O$2:$AU$2,0))</f>
        <v>#REF!</v>
      </c>
      <c r="AX3" s="107" t="e">
        <f ca="1">OFFSET('PERIOD 1'!#REF!,MATCH($A3,'PERIOD 1'!$A$46:$A$56,0),MATCH(AX$1,'PERIOD 1'!$O$2:$AU$2,0))</f>
        <v>#REF!</v>
      </c>
    </row>
    <row r="4" spans="1:50" ht="10.199999999999999" outlineLevel="1" x14ac:dyDescent="0.2">
      <c r="A4" s="34" t="s">
        <v>39</v>
      </c>
      <c r="C4" s="107" t="e">
        <f ca="1">OFFSET('PERIOD 1'!#REF!,MATCH($A4,'PERIOD 1'!$A$46:$A$56,0),MATCH(C$1,'PERIOD 1'!$O$2:$AU$2,0))</f>
        <v>#REF!</v>
      </c>
      <c r="D4" s="107" t="e">
        <f ca="1">OFFSET('PERIOD 1'!#REF!,MATCH($A4,'PERIOD 1'!$A$46:$A$56,0),MATCH(D$1,'PERIOD 1'!$O$2:$AU$2,0))</f>
        <v>#REF!</v>
      </c>
      <c r="E4" s="107" t="e">
        <f ca="1">OFFSET('PERIOD 1'!#REF!,MATCH($A4,'PERIOD 1'!$A$46:$A$56,0),MATCH(E$1,'PERIOD 1'!$O$2:$AU$2,0))</f>
        <v>#REF!</v>
      </c>
      <c r="F4" s="107" t="e">
        <f ca="1">OFFSET('PERIOD 1'!#REF!,MATCH($A4,'PERIOD 1'!$A$46:$A$56,0),MATCH(F$1,'PERIOD 1'!$O$2:$AU$2,0))</f>
        <v>#REF!</v>
      </c>
      <c r="G4" s="107" t="e">
        <f ca="1">OFFSET('PERIOD 1'!#REF!,MATCH($A4,'PERIOD 1'!$A$46:$A$56,0),MATCH(G$1,'PERIOD 1'!$O$2:$AU$2,0))</f>
        <v>#REF!</v>
      </c>
      <c r="H4" s="107" t="e">
        <f ca="1">OFFSET('PERIOD 1'!#REF!,MATCH($A4,'PERIOD 1'!$A$46:$A$56,0),MATCH(H$1,'PERIOD 1'!$O$2:$AU$2,0))</f>
        <v>#REF!</v>
      </c>
      <c r="I4" s="107" t="e">
        <f ca="1">OFFSET('PERIOD 1'!#REF!,MATCH($A4,'PERIOD 1'!$A$46:$A$56,0),MATCH(I$1,'PERIOD 1'!$O$2:$AU$2,0))</f>
        <v>#REF!</v>
      </c>
      <c r="J4" s="107" t="e">
        <f ca="1">OFFSET('PERIOD 1'!#REF!,MATCH($A4,'PERIOD 1'!$A$46:$A$56,0),MATCH(J$1,'PERIOD 1'!$O$2:$AU$2,0))</f>
        <v>#REF!</v>
      </c>
      <c r="K4" s="107" t="e">
        <f ca="1">OFFSET('PERIOD 1'!#REF!,MATCH($A4,'PERIOD 1'!$A$46:$A$56,0),MATCH(K$1,'PERIOD 1'!$O$2:$AU$2,0))</f>
        <v>#REF!</v>
      </c>
      <c r="L4" s="107" t="e">
        <f ca="1">OFFSET('PERIOD 1'!#REF!,MATCH($A4,'PERIOD 1'!$A$46:$A$56,0),MATCH(L$1,'PERIOD 1'!$O$2:$AU$2,0))</f>
        <v>#REF!</v>
      </c>
      <c r="M4" s="107" t="e">
        <f ca="1">OFFSET('PERIOD 1'!#REF!,MATCH($A4,'PERIOD 1'!$A$46:$A$56,0),MATCH(M$1,'PERIOD 1'!$O$2:$AU$2,0))</f>
        <v>#REF!</v>
      </c>
      <c r="N4" s="107" t="e">
        <f ca="1">OFFSET('PERIOD 1'!#REF!,MATCH($A4,'PERIOD 1'!$A$46:$A$56,0),MATCH(N$1,'PERIOD 1'!$O$2:$AU$2,0))</f>
        <v>#REF!</v>
      </c>
      <c r="O4" s="107" t="e">
        <f ca="1">OFFSET('PERIOD 1'!#REF!,MATCH($A4,'PERIOD 1'!$A$46:$A$56,0),MATCH(O$1,'PERIOD 1'!$O$2:$AU$2,0))</f>
        <v>#REF!</v>
      </c>
      <c r="P4" s="107" t="e">
        <f ca="1">OFFSET('PERIOD 1'!#REF!,MATCH($A4,'PERIOD 1'!$A$46:$A$56,0),MATCH(P$1,'PERIOD 1'!$O$2:$AU$2,0))</f>
        <v>#REF!</v>
      </c>
      <c r="Q4" s="107" t="e">
        <f ca="1">OFFSET('PERIOD 1'!#REF!,MATCH($A4,'PERIOD 1'!$A$46:$A$56,0),MATCH(Q$1,'PERIOD 1'!$O$2:$AU$2,0))</f>
        <v>#REF!</v>
      </c>
      <c r="R4" s="107" t="e">
        <f ca="1">OFFSET('PERIOD 1'!#REF!,MATCH($A4,'PERIOD 1'!$A$46:$A$56,0),MATCH(R$1,'PERIOD 1'!$O$2:$AU$2,0))</f>
        <v>#REF!</v>
      </c>
      <c r="S4" s="107" t="e">
        <f ca="1">OFFSET('PERIOD 1'!#REF!,MATCH($A4,'PERIOD 1'!$A$46:$A$56,0),MATCH(S$1,'PERIOD 1'!$O$2:$AU$2,0))</f>
        <v>#REF!</v>
      </c>
      <c r="T4" s="107" t="e">
        <f ca="1">OFFSET('PERIOD 1'!#REF!,MATCH($A4,'PERIOD 1'!$A$46:$A$56,0),MATCH(T$1,'PERIOD 1'!$O$2:$AU$2,0))</f>
        <v>#REF!</v>
      </c>
      <c r="U4" s="107" t="e">
        <f ca="1">OFFSET('PERIOD 1'!#REF!,MATCH($A4,'PERIOD 1'!$A$46:$A$56,0),MATCH(U$1,'PERIOD 1'!$O$2:$AU$2,0))</f>
        <v>#REF!</v>
      </c>
      <c r="V4" s="107" t="e">
        <f ca="1">OFFSET('PERIOD 1'!#REF!,MATCH($A4,'PERIOD 1'!$A$46:$A$56,0),MATCH(V$1,'PERIOD 1'!$O$2:$AU$2,0))</f>
        <v>#REF!</v>
      </c>
      <c r="W4" s="107" t="e">
        <f ca="1">OFFSET('PERIOD 1'!#REF!,MATCH($A4,'PERIOD 1'!$A$46:$A$56,0),MATCH(W$1,'PERIOD 1'!$O$2:$AU$2,0))</f>
        <v>#REF!</v>
      </c>
      <c r="X4" s="107" t="e">
        <f ca="1">OFFSET('PERIOD 1'!#REF!,MATCH($A4,'PERIOD 1'!$A$46:$A$56,0),MATCH(X$1,'PERIOD 1'!$O$2:$AU$2,0))</f>
        <v>#REF!</v>
      </c>
      <c r="Y4" s="107" t="e">
        <f ca="1">OFFSET('PERIOD 1'!#REF!,MATCH($A4,'PERIOD 1'!$A$46:$A$56,0),MATCH(Y$1,'PERIOD 1'!$O$2:$AU$2,0))</f>
        <v>#REF!</v>
      </c>
      <c r="Z4" s="107" t="e">
        <f ca="1">OFFSET('PERIOD 1'!#REF!,MATCH($A4,'PERIOD 1'!$A$46:$A$56,0),MATCH(Z$1,'PERIOD 1'!$O$2:$AU$2,0))</f>
        <v>#REF!</v>
      </c>
      <c r="AA4" s="107" t="e">
        <f ca="1">OFFSET('PERIOD 1'!#REF!,MATCH($A4,'PERIOD 1'!$A$46:$A$56,0),MATCH(AA$1,'PERIOD 1'!$O$2:$AU$2,0))</f>
        <v>#REF!</v>
      </c>
      <c r="AB4" s="107" t="e">
        <f ca="1">OFFSET('PERIOD 1'!#REF!,MATCH($A4,'PERIOD 1'!$A$46:$A$56,0),MATCH(AB$1,'PERIOD 1'!$O$2:$AU$2,0))</f>
        <v>#REF!</v>
      </c>
      <c r="AC4" s="107" t="e">
        <f ca="1">OFFSET('PERIOD 1'!#REF!,MATCH($A4,'PERIOD 1'!$A$46:$A$56,0),MATCH(AC$1,'PERIOD 1'!$O$2:$AU$2,0))</f>
        <v>#REF!</v>
      </c>
      <c r="AD4" s="107" t="e">
        <f ca="1">OFFSET('PERIOD 1'!#REF!,MATCH($A4,'PERIOD 1'!$A$46:$A$56,0),MATCH(AD$1,'PERIOD 1'!$O$2:$AU$2,0))</f>
        <v>#REF!</v>
      </c>
      <c r="AE4" s="107" t="e">
        <f ca="1">OFFSET('PERIOD 1'!#REF!,MATCH($A4,'PERIOD 1'!$A$46:$A$56,0),MATCH(AE$1,'PERIOD 1'!$O$2:$AU$2,0))</f>
        <v>#REF!</v>
      </c>
      <c r="AF4" s="107" t="e">
        <f ca="1">OFFSET('PERIOD 1'!#REF!,MATCH($A4,'PERIOD 1'!$A$46:$A$56,0),MATCH(AF$1,'PERIOD 1'!$O$2:$AU$2,0))</f>
        <v>#REF!</v>
      </c>
      <c r="AG4" s="107" t="e">
        <f ca="1">OFFSET('PERIOD 1'!#REF!,MATCH($A4,'PERIOD 1'!$A$46:$A$56,0),MATCH(AG$1,'PERIOD 1'!$O$2:$AU$2,0))</f>
        <v>#REF!</v>
      </c>
      <c r="AH4" s="107" t="e">
        <f ca="1">OFFSET('PERIOD 1'!#REF!,MATCH($A4,'PERIOD 1'!$A$46:$A$56,0),MATCH(AH$1,'PERIOD 1'!$O$2:$AU$2,0))</f>
        <v>#REF!</v>
      </c>
      <c r="AI4" s="107" t="e">
        <f ca="1">OFFSET('PERIOD 1'!#REF!,MATCH($A4,'PERIOD 1'!$A$46:$A$56,0),MATCH(AI$1,'PERIOD 1'!$O$2:$AU$2,0))</f>
        <v>#REF!</v>
      </c>
      <c r="AJ4" s="107" t="e">
        <f ca="1">OFFSET('PERIOD 1'!#REF!,MATCH($A4,'PERIOD 1'!$A$46:$A$56,0),MATCH(AJ$1,'PERIOD 1'!$O$2:$AU$2,0))</f>
        <v>#REF!</v>
      </c>
      <c r="AK4" s="107" t="e">
        <f ca="1">OFFSET('PERIOD 1'!#REF!,MATCH($A4,'PERIOD 1'!$A$46:$A$56,0),MATCH(AK$1,'PERIOD 1'!$O$2:$AU$2,0))</f>
        <v>#REF!</v>
      </c>
      <c r="AL4" s="107" t="e">
        <f ca="1">OFFSET('PERIOD 1'!#REF!,MATCH($A4,'PERIOD 1'!$A$46:$A$56,0),MATCH(AL$1,'PERIOD 1'!$O$2:$AU$2,0))</f>
        <v>#REF!</v>
      </c>
      <c r="AM4" s="107" t="e">
        <f ca="1">OFFSET('PERIOD 1'!#REF!,MATCH($A4,'PERIOD 1'!$A$46:$A$56,0),MATCH(AM$1,'PERIOD 1'!$O$2:$AU$2,0))</f>
        <v>#REF!</v>
      </c>
      <c r="AN4" s="107" t="e">
        <f ca="1">OFFSET('PERIOD 1'!#REF!,MATCH($A4,'PERIOD 1'!$A$46:$A$56,0),MATCH(AN$1,'PERIOD 1'!$O$2:$AU$2,0))</f>
        <v>#REF!</v>
      </c>
      <c r="AO4" s="107" t="e">
        <f ca="1">OFFSET('PERIOD 1'!#REF!,MATCH($A4,'PERIOD 1'!$A$46:$A$56,0),MATCH(AO$1,'PERIOD 1'!$O$2:$AU$2,0))</f>
        <v>#REF!</v>
      </c>
      <c r="AP4" s="107" t="e">
        <f ca="1">OFFSET('PERIOD 1'!#REF!,MATCH($A4,'PERIOD 1'!$A$46:$A$56,0),MATCH(AP$1,'PERIOD 1'!$O$2:$AU$2,0))</f>
        <v>#REF!</v>
      </c>
      <c r="AQ4" s="107" t="e">
        <f ca="1">OFFSET('PERIOD 1'!#REF!,MATCH($A4,'PERIOD 1'!$A$46:$A$56,0),MATCH(AQ$1,'PERIOD 1'!$O$2:$AU$2,0))</f>
        <v>#REF!</v>
      </c>
      <c r="AR4" s="107" t="e">
        <f ca="1">OFFSET('PERIOD 1'!#REF!,MATCH($A4,'PERIOD 1'!$A$46:$A$56,0),MATCH(AR$1,'PERIOD 1'!$O$2:$AU$2,0))</f>
        <v>#REF!</v>
      </c>
      <c r="AS4" s="107" t="e">
        <f ca="1">OFFSET('PERIOD 1'!#REF!,MATCH($A4,'PERIOD 1'!$A$46:$A$56,0),MATCH(AS$1,'PERIOD 1'!$O$2:$AU$2,0))</f>
        <v>#REF!</v>
      </c>
      <c r="AT4" s="107" t="e">
        <f ca="1">OFFSET('PERIOD 1'!#REF!,MATCH($A4,'PERIOD 1'!$A$46:$A$56,0),MATCH(AT$1,'PERIOD 1'!$O$2:$AU$2,0))</f>
        <v>#REF!</v>
      </c>
      <c r="AU4" s="107" t="e">
        <f ca="1">OFFSET('PERIOD 1'!#REF!,MATCH($A4,'PERIOD 1'!$A$46:$A$56,0),MATCH(AU$1,'PERIOD 1'!$O$2:$AU$2,0))</f>
        <v>#REF!</v>
      </c>
      <c r="AV4" s="107" t="e">
        <f ca="1">OFFSET('PERIOD 1'!#REF!,MATCH($A4,'PERIOD 1'!$A$46:$A$56,0),MATCH(AV$1,'PERIOD 1'!$O$2:$AU$2,0))</f>
        <v>#REF!</v>
      </c>
      <c r="AW4" s="107" t="e">
        <f ca="1">OFFSET('PERIOD 1'!#REF!,MATCH($A4,'PERIOD 1'!$A$46:$A$56,0),MATCH(AW$1,'PERIOD 1'!$O$2:$AU$2,0))</f>
        <v>#REF!</v>
      </c>
      <c r="AX4" s="107" t="e">
        <f ca="1">OFFSET('PERIOD 1'!#REF!,MATCH($A4,'PERIOD 1'!$A$46:$A$56,0),MATCH(AX$1,'PERIOD 1'!$O$2:$AU$2,0))</f>
        <v>#REF!</v>
      </c>
    </row>
    <row r="5" spans="1:50" ht="10.199999999999999" outlineLevel="1" x14ac:dyDescent="0.2">
      <c r="A5" s="34" t="s">
        <v>54</v>
      </c>
      <c r="C5" s="107" t="e">
        <f ca="1">OFFSET('PERIOD 1'!#REF!,MATCH($A5,'PERIOD 1'!$A$46:$A$56,0),MATCH(C$1,'PERIOD 1'!$O$2:$AU$2,0))</f>
        <v>#REF!</v>
      </c>
      <c r="D5" s="107" t="e">
        <f ca="1">OFFSET('PERIOD 1'!#REF!,MATCH($A5,'PERIOD 1'!$A$46:$A$56,0),MATCH(D$1,'PERIOD 1'!$O$2:$AU$2,0))</f>
        <v>#REF!</v>
      </c>
      <c r="E5" s="107" t="e">
        <f ca="1">OFFSET('PERIOD 1'!#REF!,MATCH($A5,'PERIOD 1'!$A$46:$A$56,0),MATCH(E$1,'PERIOD 1'!$O$2:$AU$2,0))</f>
        <v>#REF!</v>
      </c>
      <c r="F5" s="107" t="e">
        <f ca="1">OFFSET('PERIOD 1'!#REF!,MATCH($A5,'PERIOD 1'!$A$46:$A$56,0),MATCH(F$1,'PERIOD 1'!$O$2:$AU$2,0))</f>
        <v>#REF!</v>
      </c>
      <c r="G5" s="107" t="e">
        <f ca="1">OFFSET('PERIOD 1'!#REF!,MATCH($A5,'PERIOD 1'!$A$46:$A$56,0),MATCH(G$1,'PERIOD 1'!$O$2:$AU$2,0))</f>
        <v>#REF!</v>
      </c>
      <c r="H5" s="107" t="e">
        <f ca="1">OFFSET('PERIOD 1'!#REF!,MATCH($A5,'PERIOD 1'!$A$46:$A$56,0),MATCH(H$1,'PERIOD 1'!$O$2:$AU$2,0))</f>
        <v>#REF!</v>
      </c>
      <c r="I5" s="107" t="e">
        <f ca="1">OFFSET('PERIOD 1'!#REF!,MATCH($A5,'PERIOD 1'!$A$46:$A$56,0),MATCH(I$1,'PERIOD 1'!$O$2:$AU$2,0))</f>
        <v>#REF!</v>
      </c>
      <c r="J5" s="107" t="e">
        <f ca="1">OFFSET('PERIOD 1'!#REF!,MATCH($A5,'PERIOD 1'!$A$46:$A$56,0),MATCH(J$1,'PERIOD 1'!$O$2:$AU$2,0))</f>
        <v>#REF!</v>
      </c>
      <c r="K5" s="107" t="e">
        <f ca="1">OFFSET('PERIOD 1'!#REF!,MATCH($A5,'PERIOD 1'!$A$46:$A$56,0),MATCH(K$1,'PERIOD 1'!$O$2:$AU$2,0))</f>
        <v>#REF!</v>
      </c>
      <c r="L5" s="107" t="e">
        <f ca="1">OFFSET('PERIOD 1'!#REF!,MATCH($A5,'PERIOD 1'!$A$46:$A$56,0),MATCH(L$1,'PERIOD 1'!$O$2:$AU$2,0))</f>
        <v>#REF!</v>
      </c>
      <c r="M5" s="107" t="e">
        <f ca="1">OFFSET('PERIOD 1'!#REF!,MATCH($A5,'PERIOD 1'!$A$46:$A$56,0),MATCH(M$1,'PERIOD 1'!$O$2:$AU$2,0))</f>
        <v>#REF!</v>
      </c>
      <c r="N5" s="107" t="e">
        <f ca="1">OFFSET('PERIOD 1'!#REF!,MATCH($A5,'PERIOD 1'!$A$46:$A$56,0),MATCH(N$1,'PERIOD 1'!$O$2:$AU$2,0))</f>
        <v>#REF!</v>
      </c>
      <c r="O5" s="107" t="e">
        <f ca="1">OFFSET('PERIOD 1'!#REF!,MATCH($A5,'PERIOD 1'!$A$46:$A$56,0),MATCH(O$1,'PERIOD 1'!$O$2:$AU$2,0))</f>
        <v>#REF!</v>
      </c>
      <c r="P5" s="107" t="e">
        <f ca="1">OFFSET('PERIOD 1'!#REF!,MATCH($A5,'PERIOD 1'!$A$46:$A$56,0),MATCH(P$1,'PERIOD 1'!$O$2:$AU$2,0))</f>
        <v>#REF!</v>
      </c>
      <c r="Q5" s="107" t="e">
        <f ca="1">OFFSET('PERIOD 1'!#REF!,MATCH($A5,'PERIOD 1'!$A$46:$A$56,0),MATCH(Q$1,'PERIOD 1'!$O$2:$AU$2,0))</f>
        <v>#REF!</v>
      </c>
      <c r="R5" s="107" t="e">
        <f ca="1">OFFSET('PERIOD 1'!#REF!,MATCH($A5,'PERIOD 1'!$A$46:$A$56,0),MATCH(R$1,'PERIOD 1'!$O$2:$AU$2,0))</f>
        <v>#REF!</v>
      </c>
      <c r="S5" s="107" t="e">
        <f ca="1">OFFSET('PERIOD 1'!#REF!,MATCH($A5,'PERIOD 1'!$A$46:$A$56,0),MATCH(S$1,'PERIOD 1'!$O$2:$AU$2,0))</f>
        <v>#REF!</v>
      </c>
      <c r="T5" s="107" t="e">
        <f ca="1">OFFSET('PERIOD 1'!#REF!,MATCH($A5,'PERIOD 1'!$A$46:$A$56,0),MATCH(T$1,'PERIOD 1'!$O$2:$AU$2,0))</f>
        <v>#REF!</v>
      </c>
      <c r="U5" s="107" t="e">
        <f ca="1">OFFSET('PERIOD 1'!#REF!,MATCH($A5,'PERIOD 1'!$A$46:$A$56,0),MATCH(U$1,'PERIOD 1'!$O$2:$AU$2,0))</f>
        <v>#REF!</v>
      </c>
      <c r="V5" s="107" t="e">
        <f ca="1">OFFSET('PERIOD 1'!#REF!,MATCH($A5,'PERIOD 1'!$A$46:$A$56,0),MATCH(V$1,'PERIOD 1'!$O$2:$AU$2,0))</f>
        <v>#REF!</v>
      </c>
      <c r="W5" s="107" t="e">
        <f ca="1">OFFSET('PERIOD 1'!#REF!,MATCH($A5,'PERIOD 1'!$A$46:$A$56,0),MATCH(W$1,'PERIOD 1'!$O$2:$AU$2,0))</f>
        <v>#REF!</v>
      </c>
      <c r="X5" s="107" t="e">
        <f ca="1">OFFSET('PERIOD 1'!#REF!,MATCH($A5,'PERIOD 1'!$A$46:$A$56,0),MATCH(X$1,'PERIOD 1'!$O$2:$AU$2,0))</f>
        <v>#REF!</v>
      </c>
      <c r="Y5" s="107" t="e">
        <f ca="1">OFFSET('PERIOD 1'!#REF!,MATCH($A5,'PERIOD 1'!$A$46:$A$56,0),MATCH(Y$1,'PERIOD 1'!$O$2:$AU$2,0))</f>
        <v>#REF!</v>
      </c>
      <c r="Z5" s="107" t="e">
        <f ca="1">OFFSET('PERIOD 1'!#REF!,MATCH($A5,'PERIOD 1'!$A$46:$A$56,0),MATCH(Z$1,'PERIOD 1'!$O$2:$AU$2,0))</f>
        <v>#REF!</v>
      </c>
      <c r="AA5" s="107" t="e">
        <f ca="1">OFFSET('PERIOD 1'!#REF!,MATCH($A5,'PERIOD 1'!$A$46:$A$56,0),MATCH(AA$1,'PERIOD 1'!$O$2:$AU$2,0))</f>
        <v>#REF!</v>
      </c>
      <c r="AB5" s="107" t="e">
        <f ca="1">OFFSET('PERIOD 1'!#REF!,MATCH($A5,'PERIOD 1'!$A$46:$A$56,0),MATCH(AB$1,'PERIOD 1'!$O$2:$AU$2,0))</f>
        <v>#REF!</v>
      </c>
      <c r="AC5" s="107" t="e">
        <f ca="1">OFFSET('PERIOD 1'!#REF!,MATCH($A5,'PERIOD 1'!$A$46:$A$56,0),MATCH(AC$1,'PERIOD 1'!$O$2:$AU$2,0))</f>
        <v>#REF!</v>
      </c>
      <c r="AD5" s="107" t="e">
        <f ca="1">OFFSET('PERIOD 1'!#REF!,MATCH($A5,'PERIOD 1'!$A$46:$A$56,0),MATCH(AD$1,'PERIOD 1'!$O$2:$AU$2,0))</f>
        <v>#REF!</v>
      </c>
      <c r="AE5" s="107" t="e">
        <f ca="1">OFFSET('PERIOD 1'!#REF!,MATCH($A5,'PERIOD 1'!$A$46:$A$56,0),MATCH(AE$1,'PERIOD 1'!$O$2:$AU$2,0))</f>
        <v>#REF!</v>
      </c>
      <c r="AF5" s="107" t="e">
        <f ca="1">OFFSET('PERIOD 1'!#REF!,MATCH($A5,'PERIOD 1'!$A$46:$A$56,0),MATCH(AF$1,'PERIOD 1'!$O$2:$AU$2,0))</f>
        <v>#REF!</v>
      </c>
      <c r="AG5" s="107" t="e">
        <f ca="1">OFFSET('PERIOD 1'!#REF!,MATCH($A5,'PERIOD 1'!$A$46:$A$56,0),MATCH(AG$1,'PERIOD 1'!$O$2:$AU$2,0))</f>
        <v>#REF!</v>
      </c>
      <c r="AH5" s="107" t="e">
        <f ca="1">OFFSET('PERIOD 1'!#REF!,MATCH($A5,'PERIOD 1'!$A$46:$A$56,0),MATCH(AH$1,'PERIOD 1'!$O$2:$AU$2,0))</f>
        <v>#REF!</v>
      </c>
      <c r="AI5" s="107" t="e">
        <f ca="1">OFFSET('PERIOD 1'!#REF!,MATCH($A5,'PERIOD 1'!$A$46:$A$56,0),MATCH(AI$1,'PERIOD 1'!$O$2:$AU$2,0))</f>
        <v>#REF!</v>
      </c>
      <c r="AJ5" s="107" t="e">
        <f ca="1">OFFSET('PERIOD 1'!#REF!,MATCH($A5,'PERIOD 1'!$A$46:$A$56,0),MATCH(AJ$1,'PERIOD 1'!$O$2:$AU$2,0))</f>
        <v>#REF!</v>
      </c>
      <c r="AK5" s="107" t="e">
        <f ca="1">OFFSET('PERIOD 1'!#REF!,MATCH($A5,'PERIOD 1'!$A$46:$A$56,0),MATCH(AK$1,'PERIOD 1'!$O$2:$AU$2,0))</f>
        <v>#REF!</v>
      </c>
      <c r="AL5" s="107" t="e">
        <f ca="1">OFFSET('PERIOD 1'!#REF!,MATCH($A5,'PERIOD 1'!$A$46:$A$56,0),MATCH(AL$1,'PERIOD 1'!$O$2:$AU$2,0))</f>
        <v>#REF!</v>
      </c>
      <c r="AM5" s="107" t="e">
        <f ca="1">OFFSET('PERIOD 1'!#REF!,MATCH($A5,'PERIOD 1'!$A$46:$A$56,0),MATCH(AM$1,'PERIOD 1'!$O$2:$AU$2,0))</f>
        <v>#REF!</v>
      </c>
      <c r="AN5" s="107" t="e">
        <f ca="1">OFFSET('PERIOD 1'!#REF!,MATCH($A5,'PERIOD 1'!$A$46:$A$56,0),MATCH(AN$1,'PERIOD 1'!$O$2:$AU$2,0))</f>
        <v>#REF!</v>
      </c>
      <c r="AO5" s="107" t="e">
        <f ca="1">OFFSET('PERIOD 1'!#REF!,MATCH($A5,'PERIOD 1'!$A$46:$A$56,0),MATCH(AO$1,'PERIOD 1'!$O$2:$AU$2,0))</f>
        <v>#REF!</v>
      </c>
      <c r="AP5" s="107" t="e">
        <f ca="1">OFFSET('PERIOD 1'!#REF!,MATCH($A5,'PERIOD 1'!$A$46:$A$56,0),MATCH(AP$1,'PERIOD 1'!$O$2:$AU$2,0))</f>
        <v>#REF!</v>
      </c>
      <c r="AQ5" s="107" t="e">
        <f ca="1">OFFSET('PERIOD 1'!#REF!,MATCH($A5,'PERIOD 1'!$A$46:$A$56,0),MATCH(AQ$1,'PERIOD 1'!$O$2:$AU$2,0))</f>
        <v>#REF!</v>
      </c>
      <c r="AR5" s="107" t="e">
        <f ca="1">OFFSET('PERIOD 1'!#REF!,MATCH($A5,'PERIOD 1'!$A$46:$A$56,0),MATCH(AR$1,'PERIOD 1'!$O$2:$AU$2,0))</f>
        <v>#REF!</v>
      </c>
      <c r="AS5" s="107" t="e">
        <f ca="1">OFFSET('PERIOD 1'!#REF!,MATCH($A5,'PERIOD 1'!$A$46:$A$56,0),MATCH(AS$1,'PERIOD 1'!$O$2:$AU$2,0))</f>
        <v>#REF!</v>
      </c>
      <c r="AT5" s="107" t="e">
        <f ca="1">OFFSET('PERIOD 1'!#REF!,MATCH($A5,'PERIOD 1'!$A$46:$A$56,0),MATCH(AT$1,'PERIOD 1'!$O$2:$AU$2,0))</f>
        <v>#REF!</v>
      </c>
      <c r="AU5" s="107" t="e">
        <f ca="1">OFFSET('PERIOD 1'!#REF!,MATCH($A5,'PERIOD 1'!$A$46:$A$56,0),MATCH(AU$1,'PERIOD 1'!$O$2:$AU$2,0))</f>
        <v>#REF!</v>
      </c>
      <c r="AV5" s="107" t="e">
        <f ca="1">OFFSET('PERIOD 1'!#REF!,MATCH($A5,'PERIOD 1'!$A$46:$A$56,0),MATCH(AV$1,'PERIOD 1'!$O$2:$AU$2,0))</f>
        <v>#REF!</v>
      </c>
      <c r="AW5" s="107" t="e">
        <f ca="1">OFFSET('PERIOD 1'!#REF!,MATCH($A5,'PERIOD 1'!$A$46:$A$56,0),MATCH(AW$1,'PERIOD 1'!$O$2:$AU$2,0))</f>
        <v>#REF!</v>
      </c>
      <c r="AX5" s="107" t="e">
        <f ca="1">OFFSET('PERIOD 1'!#REF!,MATCH($A5,'PERIOD 1'!$A$46:$A$56,0),MATCH(AX$1,'PERIOD 1'!$O$2:$AU$2,0))</f>
        <v>#REF!</v>
      </c>
    </row>
    <row r="6" spans="1:50" ht="10.199999999999999" outlineLevel="1" x14ac:dyDescent="0.2">
      <c r="A6" s="34" t="s">
        <v>36</v>
      </c>
      <c r="C6" s="107" t="e">
        <f ca="1">OFFSET('PERIOD 1'!#REF!,MATCH($A6,'PERIOD 1'!$A$46:$A$56,0),MATCH(C$1,'PERIOD 1'!$O$2:$AU$2,0))</f>
        <v>#REF!</v>
      </c>
      <c r="D6" s="107" t="e">
        <f ca="1">OFFSET('PERIOD 1'!#REF!,MATCH($A6,'PERIOD 1'!$A$46:$A$56,0),MATCH(D$1,'PERIOD 1'!$O$2:$AU$2,0))</f>
        <v>#REF!</v>
      </c>
      <c r="E6" s="107" t="e">
        <f ca="1">OFFSET('PERIOD 1'!#REF!,MATCH($A6,'PERIOD 1'!$A$46:$A$56,0),MATCH(E$1,'PERIOD 1'!$O$2:$AU$2,0))</f>
        <v>#REF!</v>
      </c>
      <c r="F6" s="107" t="e">
        <f ca="1">OFFSET('PERIOD 1'!#REF!,MATCH($A6,'PERIOD 1'!$A$46:$A$56,0),MATCH(F$1,'PERIOD 1'!$O$2:$AU$2,0))</f>
        <v>#REF!</v>
      </c>
      <c r="G6" s="107" t="e">
        <f ca="1">OFFSET('PERIOD 1'!#REF!,MATCH($A6,'PERIOD 1'!$A$46:$A$56,0),MATCH(G$1,'PERIOD 1'!$O$2:$AU$2,0))</f>
        <v>#REF!</v>
      </c>
      <c r="H6" s="107" t="e">
        <f ca="1">OFFSET('PERIOD 1'!#REF!,MATCH($A6,'PERIOD 1'!$A$46:$A$56,0),MATCH(H$1,'PERIOD 1'!$O$2:$AU$2,0))</f>
        <v>#REF!</v>
      </c>
      <c r="I6" s="107" t="e">
        <f ca="1">OFFSET('PERIOD 1'!#REF!,MATCH($A6,'PERIOD 1'!$A$46:$A$56,0),MATCH(I$1,'PERIOD 1'!$O$2:$AU$2,0))</f>
        <v>#REF!</v>
      </c>
      <c r="J6" s="107" t="e">
        <f ca="1">OFFSET('PERIOD 1'!#REF!,MATCH($A6,'PERIOD 1'!$A$46:$A$56,0),MATCH(J$1,'PERIOD 1'!$O$2:$AU$2,0))</f>
        <v>#REF!</v>
      </c>
      <c r="K6" s="107" t="e">
        <f ca="1">OFFSET('PERIOD 1'!#REF!,MATCH($A6,'PERIOD 1'!$A$46:$A$56,0),MATCH(K$1,'PERIOD 1'!$O$2:$AU$2,0))</f>
        <v>#REF!</v>
      </c>
      <c r="L6" s="107" t="e">
        <f ca="1">OFFSET('PERIOD 1'!#REF!,MATCH($A6,'PERIOD 1'!$A$46:$A$56,0),MATCH(L$1,'PERIOD 1'!$O$2:$AU$2,0))</f>
        <v>#REF!</v>
      </c>
      <c r="M6" s="107" t="e">
        <f ca="1">OFFSET('PERIOD 1'!#REF!,MATCH($A6,'PERIOD 1'!$A$46:$A$56,0),MATCH(M$1,'PERIOD 1'!$O$2:$AU$2,0))</f>
        <v>#REF!</v>
      </c>
      <c r="N6" s="107" t="e">
        <f ca="1">OFFSET('PERIOD 1'!#REF!,MATCH($A6,'PERIOD 1'!$A$46:$A$56,0),MATCH(N$1,'PERIOD 1'!$O$2:$AU$2,0))</f>
        <v>#REF!</v>
      </c>
      <c r="O6" s="107" t="e">
        <f ca="1">OFFSET('PERIOD 1'!#REF!,MATCH($A6,'PERIOD 1'!$A$46:$A$56,0),MATCH(O$1,'PERIOD 1'!$O$2:$AU$2,0))</f>
        <v>#REF!</v>
      </c>
      <c r="P6" s="107" t="e">
        <f ca="1">OFFSET('PERIOD 1'!#REF!,MATCH($A6,'PERIOD 1'!$A$46:$A$56,0),MATCH(P$1,'PERIOD 1'!$O$2:$AU$2,0))</f>
        <v>#REF!</v>
      </c>
      <c r="Q6" s="107" t="e">
        <f ca="1">OFFSET('PERIOD 1'!#REF!,MATCH($A6,'PERIOD 1'!$A$46:$A$56,0),MATCH(Q$1,'PERIOD 1'!$O$2:$AU$2,0))</f>
        <v>#REF!</v>
      </c>
      <c r="R6" s="107" t="e">
        <f ca="1">OFFSET('PERIOD 1'!#REF!,MATCH($A6,'PERIOD 1'!$A$46:$A$56,0),MATCH(R$1,'PERIOD 1'!$O$2:$AU$2,0))</f>
        <v>#REF!</v>
      </c>
      <c r="S6" s="107" t="e">
        <f ca="1">OFFSET('PERIOD 1'!#REF!,MATCH($A6,'PERIOD 1'!$A$46:$A$56,0),MATCH(S$1,'PERIOD 1'!$O$2:$AU$2,0))</f>
        <v>#REF!</v>
      </c>
      <c r="T6" s="107" t="e">
        <f ca="1">OFFSET('PERIOD 1'!#REF!,MATCH($A6,'PERIOD 1'!$A$46:$A$56,0),MATCH(T$1,'PERIOD 1'!$O$2:$AU$2,0))</f>
        <v>#REF!</v>
      </c>
      <c r="U6" s="107" t="e">
        <f ca="1">OFFSET('PERIOD 1'!#REF!,MATCH($A6,'PERIOD 1'!$A$46:$A$56,0),MATCH(U$1,'PERIOD 1'!$O$2:$AU$2,0))</f>
        <v>#REF!</v>
      </c>
      <c r="V6" s="107" t="e">
        <f ca="1">OFFSET('PERIOD 1'!#REF!,MATCH($A6,'PERIOD 1'!$A$46:$A$56,0),MATCH(V$1,'PERIOD 1'!$O$2:$AU$2,0))</f>
        <v>#REF!</v>
      </c>
      <c r="W6" s="107" t="e">
        <f ca="1">OFFSET('PERIOD 1'!#REF!,MATCH($A6,'PERIOD 1'!$A$46:$A$56,0),MATCH(W$1,'PERIOD 1'!$O$2:$AU$2,0))</f>
        <v>#REF!</v>
      </c>
      <c r="X6" s="107" t="e">
        <f ca="1">OFFSET('PERIOD 1'!#REF!,MATCH($A6,'PERIOD 1'!$A$46:$A$56,0),MATCH(X$1,'PERIOD 1'!$O$2:$AU$2,0))</f>
        <v>#REF!</v>
      </c>
      <c r="Y6" s="107" t="e">
        <f ca="1">OFFSET('PERIOD 1'!#REF!,MATCH($A6,'PERIOD 1'!$A$46:$A$56,0),MATCH(Y$1,'PERIOD 1'!$O$2:$AU$2,0))</f>
        <v>#REF!</v>
      </c>
      <c r="Z6" s="107" t="e">
        <f ca="1">OFFSET('PERIOD 1'!#REF!,MATCH($A6,'PERIOD 1'!$A$46:$A$56,0),MATCH(Z$1,'PERIOD 1'!$O$2:$AU$2,0))</f>
        <v>#REF!</v>
      </c>
      <c r="AA6" s="107" t="e">
        <f ca="1">OFFSET('PERIOD 1'!#REF!,MATCH($A6,'PERIOD 1'!$A$46:$A$56,0),MATCH(AA$1,'PERIOD 1'!$O$2:$AU$2,0))</f>
        <v>#REF!</v>
      </c>
      <c r="AB6" s="107" t="e">
        <f ca="1">OFFSET('PERIOD 1'!#REF!,MATCH($A6,'PERIOD 1'!$A$46:$A$56,0),MATCH(AB$1,'PERIOD 1'!$O$2:$AU$2,0))</f>
        <v>#REF!</v>
      </c>
      <c r="AC6" s="107" t="e">
        <f ca="1">OFFSET('PERIOD 1'!#REF!,MATCH($A6,'PERIOD 1'!$A$46:$A$56,0),MATCH(AC$1,'PERIOD 1'!$O$2:$AU$2,0))</f>
        <v>#REF!</v>
      </c>
      <c r="AD6" s="107" t="e">
        <f ca="1">OFFSET('PERIOD 1'!#REF!,MATCH($A6,'PERIOD 1'!$A$46:$A$56,0),MATCH(AD$1,'PERIOD 1'!$O$2:$AU$2,0))</f>
        <v>#REF!</v>
      </c>
      <c r="AE6" s="107" t="e">
        <f ca="1">OFFSET('PERIOD 1'!#REF!,MATCH($A6,'PERIOD 1'!$A$46:$A$56,0),MATCH(AE$1,'PERIOD 1'!$O$2:$AU$2,0))</f>
        <v>#REF!</v>
      </c>
      <c r="AF6" s="107" t="e">
        <f ca="1">OFFSET('PERIOD 1'!#REF!,MATCH($A6,'PERIOD 1'!$A$46:$A$56,0),MATCH(AF$1,'PERIOD 1'!$O$2:$AU$2,0))</f>
        <v>#REF!</v>
      </c>
      <c r="AG6" s="107" t="e">
        <f ca="1">OFFSET('PERIOD 1'!#REF!,MATCH($A6,'PERIOD 1'!$A$46:$A$56,0),MATCH(AG$1,'PERIOD 1'!$O$2:$AU$2,0))</f>
        <v>#REF!</v>
      </c>
      <c r="AH6" s="107" t="e">
        <f ca="1">OFFSET('PERIOD 1'!#REF!,MATCH($A6,'PERIOD 1'!$A$46:$A$56,0),MATCH(AH$1,'PERIOD 1'!$O$2:$AU$2,0))</f>
        <v>#REF!</v>
      </c>
      <c r="AI6" s="107" t="e">
        <f ca="1">OFFSET('PERIOD 1'!#REF!,MATCH($A6,'PERIOD 1'!$A$46:$A$56,0),MATCH(AI$1,'PERIOD 1'!$O$2:$AU$2,0))</f>
        <v>#REF!</v>
      </c>
      <c r="AJ6" s="107" t="e">
        <f ca="1">OFFSET('PERIOD 1'!#REF!,MATCH($A6,'PERIOD 1'!$A$46:$A$56,0),MATCH(AJ$1,'PERIOD 1'!$O$2:$AU$2,0))</f>
        <v>#REF!</v>
      </c>
      <c r="AK6" s="107" t="e">
        <f ca="1">OFFSET('PERIOD 1'!#REF!,MATCH($A6,'PERIOD 1'!$A$46:$A$56,0),MATCH(AK$1,'PERIOD 1'!$O$2:$AU$2,0))</f>
        <v>#REF!</v>
      </c>
      <c r="AL6" s="107" t="e">
        <f ca="1">OFFSET('PERIOD 1'!#REF!,MATCH($A6,'PERIOD 1'!$A$46:$A$56,0),MATCH(AL$1,'PERIOD 1'!$O$2:$AU$2,0))</f>
        <v>#REF!</v>
      </c>
      <c r="AM6" s="107" t="e">
        <f ca="1">OFFSET('PERIOD 1'!#REF!,MATCH($A6,'PERIOD 1'!$A$46:$A$56,0),MATCH(AM$1,'PERIOD 1'!$O$2:$AU$2,0))</f>
        <v>#REF!</v>
      </c>
      <c r="AN6" s="107" t="e">
        <f ca="1">OFFSET('PERIOD 1'!#REF!,MATCH($A6,'PERIOD 1'!$A$46:$A$56,0),MATCH(AN$1,'PERIOD 1'!$O$2:$AU$2,0))</f>
        <v>#REF!</v>
      </c>
      <c r="AO6" s="107" t="e">
        <f ca="1">OFFSET('PERIOD 1'!#REF!,MATCH($A6,'PERIOD 1'!$A$46:$A$56,0),MATCH(AO$1,'PERIOD 1'!$O$2:$AU$2,0))</f>
        <v>#REF!</v>
      </c>
      <c r="AP6" s="107" t="e">
        <f ca="1">OFFSET('PERIOD 1'!#REF!,MATCH($A6,'PERIOD 1'!$A$46:$A$56,0),MATCH(AP$1,'PERIOD 1'!$O$2:$AU$2,0))</f>
        <v>#REF!</v>
      </c>
      <c r="AQ6" s="107" t="e">
        <f ca="1">OFFSET('PERIOD 1'!#REF!,MATCH($A6,'PERIOD 1'!$A$46:$A$56,0),MATCH(AQ$1,'PERIOD 1'!$O$2:$AU$2,0))</f>
        <v>#REF!</v>
      </c>
      <c r="AR6" s="107" t="e">
        <f ca="1">OFFSET('PERIOD 1'!#REF!,MATCH($A6,'PERIOD 1'!$A$46:$A$56,0),MATCH(AR$1,'PERIOD 1'!$O$2:$AU$2,0))</f>
        <v>#REF!</v>
      </c>
      <c r="AS6" s="107" t="e">
        <f ca="1">OFFSET('PERIOD 1'!#REF!,MATCH($A6,'PERIOD 1'!$A$46:$A$56,0),MATCH(AS$1,'PERIOD 1'!$O$2:$AU$2,0))</f>
        <v>#REF!</v>
      </c>
      <c r="AT6" s="107" t="e">
        <f ca="1">OFFSET('PERIOD 1'!#REF!,MATCH($A6,'PERIOD 1'!$A$46:$A$56,0),MATCH(AT$1,'PERIOD 1'!$O$2:$AU$2,0))</f>
        <v>#REF!</v>
      </c>
      <c r="AU6" s="107" t="e">
        <f ca="1">OFFSET('PERIOD 1'!#REF!,MATCH($A6,'PERIOD 1'!$A$46:$A$56,0),MATCH(AU$1,'PERIOD 1'!$O$2:$AU$2,0))</f>
        <v>#REF!</v>
      </c>
      <c r="AV6" s="107" t="e">
        <f ca="1">OFFSET('PERIOD 1'!#REF!,MATCH($A6,'PERIOD 1'!$A$46:$A$56,0),MATCH(AV$1,'PERIOD 1'!$O$2:$AU$2,0))</f>
        <v>#REF!</v>
      </c>
      <c r="AW6" s="107" t="e">
        <f ca="1">OFFSET('PERIOD 1'!#REF!,MATCH($A6,'PERIOD 1'!$A$46:$A$56,0),MATCH(AW$1,'PERIOD 1'!$O$2:$AU$2,0))</f>
        <v>#REF!</v>
      </c>
      <c r="AX6" s="107" t="e">
        <f ca="1">OFFSET('PERIOD 1'!#REF!,MATCH($A6,'PERIOD 1'!$A$46:$A$56,0),MATCH(AX$1,'PERIOD 1'!$O$2:$AU$2,0))</f>
        <v>#REF!</v>
      </c>
    </row>
    <row r="7" spans="1:50" ht="10.199999999999999" outlineLevel="1" x14ac:dyDescent="0.2">
      <c r="A7" s="38" t="s">
        <v>40</v>
      </c>
      <c r="B7" s="38"/>
      <c r="C7" s="40" t="e">
        <f t="shared" ref="C7:W7" ca="1" si="0">SUM(C4:C6)</f>
        <v>#REF!</v>
      </c>
      <c r="D7" s="40" t="e">
        <f t="shared" ca="1" si="0"/>
        <v>#REF!</v>
      </c>
      <c r="E7" s="40" t="e">
        <f t="shared" ca="1" si="0"/>
        <v>#REF!</v>
      </c>
      <c r="F7" s="40" t="e">
        <f t="shared" ca="1" si="0"/>
        <v>#REF!</v>
      </c>
      <c r="G7" s="40" t="e">
        <f t="shared" ca="1" si="0"/>
        <v>#REF!</v>
      </c>
      <c r="H7" s="40" t="e">
        <f t="shared" ca="1" si="0"/>
        <v>#REF!</v>
      </c>
      <c r="I7" s="40" t="e">
        <f t="shared" ca="1" si="0"/>
        <v>#REF!</v>
      </c>
      <c r="J7" s="40" t="e">
        <f ca="1">SUM(J4:J6)</f>
        <v>#REF!</v>
      </c>
      <c r="K7" s="40" t="e">
        <f ca="1">SUM(K4:K6)</f>
        <v>#REF!</v>
      </c>
      <c r="L7" s="40" t="e">
        <f ca="1">SUM(L4:L6)</f>
        <v>#REF!</v>
      </c>
      <c r="M7" s="40" t="e">
        <f t="shared" ca="1" si="0"/>
        <v>#REF!</v>
      </c>
      <c r="N7" s="40" t="e">
        <f t="shared" ca="1" si="0"/>
        <v>#REF!</v>
      </c>
      <c r="O7" s="40" t="e">
        <f t="shared" ca="1" si="0"/>
        <v>#REF!</v>
      </c>
      <c r="P7" s="40" t="e">
        <f t="shared" ca="1" si="0"/>
        <v>#REF!</v>
      </c>
      <c r="Q7" s="40" t="e">
        <f t="shared" ca="1" si="0"/>
        <v>#REF!</v>
      </c>
      <c r="R7" s="40" t="e">
        <f t="shared" ca="1" si="0"/>
        <v>#REF!</v>
      </c>
      <c r="S7" s="40" t="e">
        <f ca="1">SUM(S4:S6)</f>
        <v>#REF!</v>
      </c>
      <c r="T7" s="40" t="e">
        <f ca="1">SUM(T4:T6)</f>
        <v>#REF!</v>
      </c>
      <c r="U7" s="40" t="e">
        <f ca="1">SUM(U4:U6)</f>
        <v>#REF!</v>
      </c>
      <c r="V7" s="40" t="e">
        <f t="shared" ca="1" si="0"/>
        <v>#REF!</v>
      </c>
      <c r="W7" s="40" t="e">
        <f t="shared" ca="1" si="0"/>
        <v>#REF!</v>
      </c>
      <c r="X7" s="40" t="e">
        <f ca="1">SUM(X4:X6)</f>
        <v>#REF!</v>
      </c>
      <c r="Y7" s="40" t="e">
        <f t="shared" ref="Y7:AX7" ca="1" si="1">SUM(Y4:Y6)</f>
        <v>#REF!</v>
      </c>
      <c r="Z7" s="40" t="e">
        <f t="shared" ca="1" si="1"/>
        <v>#REF!</v>
      </c>
      <c r="AA7" s="40" t="e">
        <f t="shared" ca="1" si="1"/>
        <v>#REF!</v>
      </c>
      <c r="AB7" s="40" t="e">
        <f t="shared" ca="1" si="1"/>
        <v>#REF!</v>
      </c>
      <c r="AC7" s="40" t="e">
        <f t="shared" ca="1" si="1"/>
        <v>#REF!</v>
      </c>
      <c r="AD7" s="40" t="e">
        <f t="shared" ca="1" si="1"/>
        <v>#REF!</v>
      </c>
      <c r="AE7" s="40" t="e">
        <f t="shared" ca="1" si="1"/>
        <v>#REF!</v>
      </c>
      <c r="AF7" s="40" t="e">
        <f t="shared" ca="1" si="1"/>
        <v>#REF!</v>
      </c>
      <c r="AG7" s="40" t="e">
        <f t="shared" ca="1" si="1"/>
        <v>#REF!</v>
      </c>
      <c r="AH7" s="40" t="e">
        <f t="shared" ca="1" si="1"/>
        <v>#REF!</v>
      </c>
      <c r="AI7" s="40" t="e">
        <f t="shared" ca="1" si="1"/>
        <v>#REF!</v>
      </c>
      <c r="AJ7" s="40" t="e">
        <f t="shared" ca="1" si="1"/>
        <v>#REF!</v>
      </c>
      <c r="AK7" s="40" t="e">
        <f t="shared" ca="1" si="1"/>
        <v>#REF!</v>
      </c>
      <c r="AL7" s="40" t="e">
        <f t="shared" ca="1" si="1"/>
        <v>#REF!</v>
      </c>
      <c r="AM7" s="40" t="e">
        <f t="shared" ca="1" si="1"/>
        <v>#REF!</v>
      </c>
      <c r="AN7" s="40" t="e">
        <f t="shared" ca="1" si="1"/>
        <v>#REF!</v>
      </c>
      <c r="AO7" s="40" t="e">
        <f t="shared" ca="1" si="1"/>
        <v>#REF!</v>
      </c>
      <c r="AP7" s="40" t="e">
        <f t="shared" ca="1" si="1"/>
        <v>#REF!</v>
      </c>
      <c r="AQ7" s="40" t="e">
        <f t="shared" ca="1" si="1"/>
        <v>#REF!</v>
      </c>
      <c r="AR7" s="40" t="e">
        <f t="shared" ca="1" si="1"/>
        <v>#REF!</v>
      </c>
      <c r="AS7" s="40" t="e">
        <f t="shared" ca="1" si="1"/>
        <v>#REF!</v>
      </c>
      <c r="AT7" s="40" t="e">
        <f t="shared" ca="1" si="1"/>
        <v>#REF!</v>
      </c>
      <c r="AU7" s="40" t="e">
        <f t="shared" ca="1" si="1"/>
        <v>#REF!</v>
      </c>
      <c r="AV7" s="40" t="e">
        <f t="shared" ca="1" si="1"/>
        <v>#REF!</v>
      </c>
      <c r="AW7" s="40" t="e">
        <f t="shared" ca="1" si="1"/>
        <v>#REF!</v>
      </c>
      <c r="AX7" s="40" t="e">
        <f t="shared" ca="1" si="1"/>
        <v>#REF!</v>
      </c>
    </row>
    <row r="8" spans="1:50" ht="10.199999999999999" outlineLevel="1" x14ac:dyDescent="0.2">
      <c r="C8" s="39"/>
      <c r="D8" s="107"/>
      <c r="E8" s="39"/>
      <c r="F8" s="107"/>
      <c r="G8" s="107"/>
      <c r="H8" s="107"/>
      <c r="I8" s="107"/>
      <c r="J8" s="107"/>
      <c r="K8" s="107"/>
      <c r="L8" s="107"/>
      <c r="M8" s="39"/>
      <c r="N8" s="39"/>
      <c r="O8" s="39"/>
      <c r="P8" s="107"/>
      <c r="Q8" s="39"/>
      <c r="R8" s="107"/>
      <c r="S8" s="107"/>
      <c r="T8" s="107"/>
      <c r="U8" s="39"/>
      <c r="V8" s="107"/>
      <c r="W8" s="107"/>
      <c r="Y8" s="34"/>
    </row>
    <row r="9" spans="1:50" ht="10.199999999999999" outlineLevel="1" x14ac:dyDescent="0.2">
      <c r="A9" s="38" t="s">
        <v>41</v>
      </c>
      <c r="B9" s="38"/>
      <c r="C9" s="108"/>
      <c r="D9" s="107"/>
      <c r="E9" s="39"/>
      <c r="F9" s="107"/>
      <c r="G9" s="107"/>
      <c r="H9" s="107"/>
      <c r="I9" s="107"/>
      <c r="J9" s="107"/>
      <c r="K9" s="107"/>
      <c r="L9" s="107"/>
      <c r="M9" s="39"/>
      <c r="N9" s="39"/>
      <c r="O9" s="39"/>
      <c r="P9" s="107"/>
      <c r="Q9" s="39"/>
      <c r="R9" s="39"/>
      <c r="S9" s="107"/>
      <c r="T9" s="107"/>
      <c r="V9" s="39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</row>
    <row r="10" spans="1:50" ht="10.199999999999999" outlineLevel="1" x14ac:dyDescent="0.2">
      <c r="A10" s="34" t="s">
        <v>10</v>
      </c>
      <c r="C10" s="107" t="e">
        <f ca="1">OFFSET('PERIOD 2'!$K$63,MATCH($A10,'PERIOD 2'!$A$64:$A$70,0),MATCH(C$1,'PERIOD 2'!$L$3:$N$3,0))</f>
        <v>#N/A</v>
      </c>
      <c r="D10" s="107" t="e">
        <f ca="1">OFFSET('PERIOD 2'!$K$63,MATCH($A10,'PERIOD 2'!$A$64:$A$70,0),MATCH(D$1,'PERIOD 2'!$L$3:$N$3,0))</f>
        <v>#N/A</v>
      </c>
      <c r="E10" s="107" t="e">
        <f ca="1">OFFSET('PERIOD 2'!$K$63,MATCH($A10,'PERIOD 2'!$A$64:$A$70,0),MATCH(E$1,'PERIOD 2'!$L$3:$N$3,0))</f>
        <v>#N/A</v>
      </c>
      <c r="F10" s="107" t="e">
        <f ca="1">OFFSET('PERIOD 2'!$K$63,MATCH($A10,'PERIOD 2'!$A$64:$A$70,0),MATCH(F$1,'PERIOD 2'!$L$3:$N$3,0))</f>
        <v>#N/A</v>
      </c>
      <c r="G10" s="107" t="e">
        <f ca="1">OFFSET('PERIOD 2'!$K$63,MATCH($A10,'PERIOD 2'!$A$64:$A$70,0),MATCH(G$1,'PERIOD 2'!$L$3:$N$3,0))</f>
        <v>#N/A</v>
      </c>
      <c r="H10" s="107" t="e">
        <f ca="1">OFFSET('PERIOD 2'!$K$63,MATCH($A10,'PERIOD 2'!$A$64:$A$70,0),MATCH(H$1,'PERIOD 2'!$L$3:$N$3,0))</f>
        <v>#N/A</v>
      </c>
      <c r="I10" s="107" t="e">
        <f ca="1">OFFSET('PERIOD 2'!$K$63,MATCH($A10,'PERIOD 2'!$A$64:$A$70,0),MATCH(I$1,'PERIOD 2'!$L$3:$N$3,0))</f>
        <v>#N/A</v>
      </c>
      <c r="J10" s="107" t="e">
        <f ca="1">OFFSET('PERIOD 2'!$K$63,MATCH($A10,'PERIOD 2'!$A$64:$A$70,0),MATCH(J$1,'PERIOD 2'!$L$3:$N$3,0))</f>
        <v>#N/A</v>
      </c>
      <c r="K10" s="107" t="e">
        <f ca="1">OFFSET('PERIOD 2'!$K$63,MATCH($A10,'PERIOD 2'!$A$64:$A$70,0),MATCH(K$1,'PERIOD 2'!$L$3:$N$3,0))</f>
        <v>#N/A</v>
      </c>
      <c r="L10" s="107" t="e">
        <f ca="1">OFFSET('PERIOD 2'!$K$63,MATCH($A10,'PERIOD 2'!$A$64:$A$70,0),MATCH(L$1,'PERIOD 2'!$L$3:$N$3,0))</f>
        <v>#N/A</v>
      </c>
      <c r="M10" s="107" t="e">
        <f ca="1">OFFSET('PERIOD 2'!$K$63,MATCH($A10,'PERIOD 2'!$A$64:$A$70,0),MATCH(M$1,'PERIOD 2'!$L$3:$N$3,0))</f>
        <v>#N/A</v>
      </c>
      <c r="N10" s="107" t="e">
        <f ca="1">OFFSET('PERIOD 2'!$K$63,MATCH($A10,'PERIOD 2'!$A$64:$A$70,0),MATCH(N$1,'PERIOD 2'!$L$3:$N$3,0))</f>
        <v>#N/A</v>
      </c>
      <c r="O10" s="107" t="e">
        <f ca="1">OFFSET('PERIOD 2'!$K$63,MATCH($A10,'PERIOD 2'!$A$64:$A$70,0),MATCH(O$1,'PERIOD 2'!$L$3:$N$3,0))</f>
        <v>#N/A</v>
      </c>
      <c r="P10" s="107" t="e">
        <f ca="1">OFFSET('PERIOD 2'!$K$63,MATCH($A10,'PERIOD 2'!$A$64:$A$70,0),MATCH(P$1,'PERIOD 2'!$L$3:$N$3,0))</f>
        <v>#N/A</v>
      </c>
      <c r="Q10" s="107" t="e">
        <f ca="1">OFFSET('PERIOD 2'!$K$63,MATCH($A10,'PERIOD 2'!$A$64:$A$70,0),MATCH(Q$1,'PERIOD 2'!$L$3:$N$3,0))</f>
        <v>#N/A</v>
      </c>
      <c r="R10" s="107" t="e">
        <f ca="1">OFFSET('PERIOD 2'!$K$63,MATCH($A10,'PERIOD 2'!$A$64:$A$70,0),MATCH(R$1,'PERIOD 2'!$L$3:$N$3,0))</f>
        <v>#N/A</v>
      </c>
      <c r="S10" s="107" t="e">
        <f ca="1">OFFSET('PERIOD 2'!$K$63,MATCH($A10,'PERIOD 2'!$A$64:$A$70,0),MATCH(S$1,'PERIOD 2'!$L$3:$N$3,0))</f>
        <v>#N/A</v>
      </c>
      <c r="T10" s="107" t="e">
        <f ca="1">OFFSET('PERIOD 2'!$K$63,MATCH($A10,'PERIOD 2'!$A$64:$A$70,0),MATCH(T$1,'PERIOD 2'!$L$3:$N$3,0))</f>
        <v>#N/A</v>
      </c>
      <c r="U10" s="107" t="e">
        <f ca="1">OFFSET('PERIOD 2'!$K$63,MATCH($A10,'PERIOD 2'!$A$64:$A$70,0),MATCH(U$1,'PERIOD 2'!$L$3:$N$3,0))</f>
        <v>#N/A</v>
      </c>
      <c r="V10" s="107" t="e">
        <f ca="1">OFFSET('PERIOD 2'!$K$63,MATCH($A10,'PERIOD 2'!$A$64:$A$70,0),MATCH(V$1,'PERIOD 2'!$L$3:$N$3,0))</f>
        <v>#N/A</v>
      </c>
      <c r="W10" s="107" t="e">
        <f ca="1">OFFSET('PERIOD 2'!$K$63,MATCH($A10,'PERIOD 2'!$A$64:$A$70,0),MATCH(W$1,'PERIOD 2'!$L$3:$N$3,0))</f>
        <v>#N/A</v>
      </c>
      <c r="X10" s="107" t="e">
        <f ca="1">OFFSET('PERIOD 2'!$K$63,MATCH($A10,'PERIOD 2'!$A$64:$A$70,0),MATCH(X$1,'PERIOD 2'!$L$3:$N$3,0))</f>
        <v>#N/A</v>
      </c>
      <c r="Y10" s="107" t="e">
        <f ca="1">OFFSET('PERIOD 2'!$K$63,MATCH($A10,'PERIOD 2'!$A$64:$A$70,0),MATCH(Y$1,'PERIOD 2'!$L$3:$N$3,0))</f>
        <v>#N/A</v>
      </c>
      <c r="Z10" s="107" t="e">
        <f ca="1">OFFSET('PERIOD 2'!$K$63,MATCH($A10,'PERIOD 2'!$A$64:$A$70,0),MATCH(Z$1,'PERIOD 2'!$L$3:$N$3,0))</f>
        <v>#N/A</v>
      </c>
      <c r="AA10" s="107" t="e">
        <f ca="1">OFFSET('PERIOD 2'!$K$63,MATCH($A10,'PERIOD 2'!$A$64:$A$70,0),MATCH(AA$1,'PERIOD 2'!$L$3:$N$3,0))</f>
        <v>#N/A</v>
      </c>
      <c r="AB10" s="107" t="e">
        <f ca="1">OFFSET('PERIOD 2'!$K$63,MATCH($A10,'PERIOD 2'!$A$64:$A$70,0),MATCH(AB$1,'PERIOD 2'!$L$3:$N$3,0))</f>
        <v>#N/A</v>
      </c>
      <c r="AC10" s="107" t="e">
        <f ca="1">OFFSET('PERIOD 2'!$K$63,MATCH($A10,'PERIOD 2'!$A$64:$A$70,0),MATCH(AC$1,'PERIOD 2'!$L$3:$N$3,0))</f>
        <v>#N/A</v>
      </c>
      <c r="AD10" s="107" t="e">
        <f ca="1">OFFSET('PERIOD 2'!$K$63,MATCH($A10,'PERIOD 2'!$A$64:$A$70,0),MATCH(AD$1,'PERIOD 2'!$L$3:$N$3,0))</f>
        <v>#N/A</v>
      </c>
      <c r="AE10" s="107" t="e">
        <f ca="1">OFFSET('PERIOD 2'!$K$63,MATCH($A10,'PERIOD 2'!$A$64:$A$70,0),MATCH(AE$1,'PERIOD 2'!$L$3:$N$3,0))</f>
        <v>#N/A</v>
      </c>
      <c r="AF10" s="107" t="e">
        <f ca="1">OFFSET('PERIOD 2'!$K$63,MATCH($A10,'PERIOD 2'!$A$64:$A$70,0),MATCH(AF$1,'PERIOD 2'!$L$3:$N$3,0))</f>
        <v>#N/A</v>
      </c>
      <c r="AG10" s="107" t="e">
        <f ca="1">OFFSET('PERIOD 2'!$K$63,MATCH($A10,'PERIOD 2'!$A$64:$A$70,0),MATCH(AG$1,'PERIOD 2'!$L$3:$N$3,0))</f>
        <v>#N/A</v>
      </c>
      <c r="AH10" s="107" t="e">
        <f ca="1">OFFSET('PERIOD 2'!$K$63,MATCH($A10,'PERIOD 2'!$A$64:$A$70,0),MATCH(AH$1,'PERIOD 2'!$L$3:$N$3,0))</f>
        <v>#N/A</v>
      </c>
      <c r="AI10" s="107" t="e">
        <f ca="1">OFFSET('PERIOD 2'!$K$63,MATCH($A10,'PERIOD 2'!$A$64:$A$70,0),MATCH(AI$1,'PERIOD 2'!$L$3:$N$3,0))</f>
        <v>#N/A</v>
      </c>
      <c r="AJ10" s="107" t="e">
        <f ca="1">OFFSET('PERIOD 2'!$K$63,MATCH($A10,'PERIOD 2'!$A$64:$A$70,0),MATCH(AJ$1,'PERIOD 2'!$L$3:$N$3,0))</f>
        <v>#N/A</v>
      </c>
      <c r="AK10" s="107" t="e">
        <f ca="1">OFFSET('PERIOD 2'!$K$63,MATCH($A10,'PERIOD 2'!$A$64:$A$70,0),MATCH(AK$1,'PERIOD 2'!$L$3:$N$3,0))</f>
        <v>#N/A</v>
      </c>
      <c r="AL10" s="107" t="e">
        <f ca="1">OFFSET('PERIOD 2'!$K$63,MATCH($A10,'PERIOD 2'!$A$64:$A$70,0),MATCH(AL$1,'PERIOD 2'!$L$3:$N$3,0))</f>
        <v>#N/A</v>
      </c>
      <c r="AM10" s="107" t="e">
        <f ca="1">OFFSET('PERIOD 2'!$K$63,MATCH($A10,'PERIOD 2'!$A$64:$A$70,0),MATCH(AM$1,'PERIOD 2'!$L$3:$N$3,0))</f>
        <v>#N/A</v>
      </c>
      <c r="AN10" s="107" t="e">
        <f ca="1">OFFSET('PERIOD 2'!$K$63,MATCH($A10,'PERIOD 2'!$A$64:$A$70,0),MATCH(AN$1,'PERIOD 2'!$L$3:$N$3,0))</f>
        <v>#N/A</v>
      </c>
      <c r="AO10" s="107" t="e">
        <f ca="1">OFFSET('PERIOD 2'!$K$63,MATCH($A10,'PERIOD 2'!$A$64:$A$70,0),MATCH(AO$1,'PERIOD 2'!$L$3:$N$3,0))</f>
        <v>#N/A</v>
      </c>
      <c r="AP10" s="107" t="e">
        <f ca="1">OFFSET('PERIOD 2'!$K$63,MATCH($A10,'PERIOD 2'!$A$64:$A$70,0),MATCH(AP$1,'PERIOD 2'!$L$3:$N$3,0))</f>
        <v>#N/A</v>
      </c>
      <c r="AQ10" s="107" t="e">
        <f ca="1">OFFSET('PERIOD 2'!$K$63,MATCH($A10,'PERIOD 2'!$A$64:$A$70,0),MATCH(AQ$1,'PERIOD 2'!$L$3:$N$3,0))</f>
        <v>#N/A</v>
      </c>
      <c r="AR10" s="107" t="e">
        <f ca="1">OFFSET('PERIOD 2'!$K$63,MATCH($A10,'PERIOD 2'!$A$64:$A$70,0),MATCH(AR$1,'PERIOD 2'!$L$3:$N$3,0))</f>
        <v>#N/A</v>
      </c>
      <c r="AS10" s="107" t="e">
        <f ca="1">OFFSET('PERIOD 2'!$K$63,MATCH($A10,'PERIOD 2'!$A$64:$A$70,0),MATCH(AS$1,'PERIOD 2'!$L$3:$N$3,0))</f>
        <v>#N/A</v>
      </c>
      <c r="AT10" s="107" t="e">
        <f ca="1">OFFSET('PERIOD 2'!$K$63,MATCH($A10,'PERIOD 2'!$A$64:$A$70,0),MATCH(AT$1,'PERIOD 2'!$L$3:$N$3,0))</f>
        <v>#N/A</v>
      </c>
      <c r="AU10" s="107" t="e">
        <f ca="1">OFFSET('PERIOD 2'!$K$63,MATCH($A10,'PERIOD 2'!$A$64:$A$70,0),MATCH(AU$1,'PERIOD 2'!$L$3:$N$3,0))</f>
        <v>#N/A</v>
      </c>
      <c r="AV10" s="107" t="e">
        <f ca="1">OFFSET('PERIOD 2'!$K$63,MATCH($A10,'PERIOD 2'!$A$64:$A$70,0),MATCH(AV$1,'PERIOD 2'!$L$3:$N$3,0))</f>
        <v>#N/A</v>
      </c>
      <c r="AW10" s="107" t="e">
        <f ca="1">OFFSET('PERIOD 2'!$K$63,MATCH($A10,'PERIOD 2'!$A$64:$A$70,0),MATCH(AW$1,'PERIOD 2'!$L$3:$N$3,0))</f>
        <v>#N/A</v>
      </c>
      <c r="AX10" s="107" t="e">
        <f ca="1">OFFSET('PERIOD 2'!$K$63,MATCH($A10,'PERIOD 2'!$A$64:$A$70,0),MATCH(AX$1,'PERIOD 2'!$L$3:$N$3,0))</f>
        <v>#N/A</v>
      </c>
    </row>
    <row r="11" spans="1:50" ht="10.199999999999999" outlineLevel="1" x14ac:dyDescent="0.2">
      <c r="A11" s="34" t="s">
        <v>39</v>
      </c>
      <c r="C11" s="107" t="e">
        <f ca="1">OFFSET('PERIOD 2'!$K$63,MATCH($A11,'PERIOD 2'!$A$64:$A$70,0),MATCH(C$1,'PERIOD 2'!$L$3:$N$3,0))</f>
        <v>#N/A</v>
      </c>
      <c r="D11" s="107" t="e">
        <f ca="1">OFFSET('PERIOD 2'!$K$63,MATCH($A11,'PERIOD 2'!$A$64:$A$70,0),MATCH(D$1,'PERIOD 2'!$L$3:$N$3,0))</f>
        <v>#N/A</v>
      </c>
      <c r="E11" s="107" t="e">
        <f ca="1">OFFSET('PERIOD 2'!$K$63,MATCH($A11,'PERIOD 2'!$A$64:$A$70,0),MATCH(E$1,'PERIOD 2'!$L$3:$N$3,0))</f>
        <v>#N/A</v>
      </c>
      <c r="F11" s="107" t="e">
        <f ca="1">OFFSET('PERIOD 2'!$K$63,MATCH($A11,'PERIOD 2'!$A$64:$A$70,0),MATCH(F$1,'PERIOD 2'!$L$3:$N$3,0))</f>
        <v>#N/A</v>
      </c>
      <c r="G11" s="107" t="e">
        <f ca="1">OFFSET('PERIOD 2'!$K$63,MATCH($A11,'PERIOD 2'!$A$64:$A$70,0),MATCH(G$1,'PERIOD 2'!$L$3:$N$3,0))</f>
        <v>#N/A</v>
      </c>
      <c r="H11" s="107" t="e">
        <f ca="1">OFFSET('PERIOD 2'!$K$63,MATCH($A11,'PERIOD 2'!$A$64:$A$70,0),MATCH(H$1,'PERIOD 2'!$L$3:$N$3,0))</f>
        <v>#N/A</v>
      </c>
      <c r="I11" s="107" t="e">
        <f ca="1">OFFSET('PERIOD 2'!$K$63,MATCH($A11,'PERIOD 2'!$A$64:$A$70,0),MATCH(I$1,'PERIOD 2'!$L$3:$N$3,0))</f>
        <v>#N/A</v>
      </c>
      <c r="J11" s="107" t="e">
        <f ca="1">OFFSET('PERIOD 2'!$K$63,MATCH($A11,'PERIOD 2'!$A$64:$A$70,0),MATCH(J$1,'PERIOD 2'!$L$3:$N$3,0))</f>
        <v>#N/A</v>
      </c>
      <c r="K11" s="107" t="e">
        <f ca="1">OFFSET('PERIOD 2'!$K$63,MATCH($A11,'PERIOD 2'!$A$64:$A$70,0),MATCH(K$1,'PERIOD 2'!$L$3:$N$3,0))</f>
        <v>#N/A</v>
      </c>
      <c r="L11" s="107" t="e">
        <f ca="1">OFFSET('PERIOD 2'!$K$63,MATCH($A11,'PERIOD 2'!$A$64:$A$70,0),MATCH(L$1,'PERIOD 2'!$L$3:$N$3,0))</f>
        <v>#N/A</v>
      </c>
      <c r="M11" s="107" t="e">
        <f ca="1">OFFSET('PERIOD 2'!$K$63,MATCH($A11,'PERIOD 2'!$A$64:$A$70,0),MATCH(M$1,'PERIOD 2'!$L$3:$N$3,0))</f>
        <v>#N/A</v>
      </c>
      <c r="N11" s="107" t="e">
        <f ca="1">OFFSET('PERIOD 2'!$K$63,MATCH($A11,'PERIOD 2'!$A$64:$A$70,0),MATCH(N$1,'PERIOD 2'!$L$3:$N$3,0))</f>
        <v>#N/A</v>
      </c>
      <c r="O11" s="107" t="e">
        <f ca="1">OFFSET('PERIOD 2'!$K$63,MATCH($A11,'PERIOD 2'!$A$64:$A$70,0),MATCH(O$1,'PERIOD 2'!$L$3:$N$3,0))</f>
        <v>#N/A</v>
      </c>
      <c r="P11" s="107" t="e">
        <f ca="1">OFFSET('PERIOD 2'!$K$63,MATCH($A11,'PERIOD 2'!$A$64:$A$70,0),MATCH(P$1,'PERIOD 2'!$L$3:$N$3,0))</f>
        <v>#N/A</v>
      </c>
      <c r="Q11" s="107" t="e">
        <f ca="1">OFFSET('PERIOD 2'!$K$63,MATCH($A11,'PERIOD 2'!$A$64:$A$70,0),MATCH(Q$1,'PERIOD 2'!$L$3:$N$3,0))</f>
        <v>#N/A</v>
      </c>
      <c r="R11" s="107" t="e">
        <f ca="1">OFFSET('PERIOD 2'!$K$63,MATCH($A11,'PERIOD 2'!$A$64:$A$70,0),MATCH(R$1,'PERIOD 2'!$L$3:$N$3,0))</f>
        <v>#N/A</v>
      </c>
      <c r="S11" s="107" t="e">
        <f ca="1">OFFSET('PERIOD 2'!$K$63,MATCH($A11,'PERIOD 2'!$A$64:$A$70,0),MATCH(S$1,'PERIOD 2'!$L$3:$N$3,0))</f>
        <v>#N/A</v>
      </c>
      <c r="T11" s="107" t="e">
        <f ca="1">OFFSET('PERIOD 2'!$K$63,MATCH($A11,'PERIOD 2'!$A$64:$A$70,0),MATCH(T$1,'PERIOD 2'!$L$3:$N$3,0))</f>
        <v>#N/A</v>
      </c>
      <c r="U11" s="107" t="e">
        <f ca="1">OFFSET('PERIOD 2'!$K$63,MATCH($A11,'PERIOD 2'!$A$64:$A$70,0),MATCH(U$1,'PERIOD 2'!$L$3:$N$3,0))</f>
        <v>#N/A</v>
      </c>
      <c r="V11" s="107" t="e">
        <f ca="1">OFFSET('PERIOD 2'!$K$63,MATCH($A11,'PERIOD 2'!$A$64:$A$70,0),MATCH(V$1,'PERIOD 2'!$L$3:$N$3,0))</f>
        <v>#N/A</v>
      </c>
      <c r="W11" s="107" t="e">
        <f ca="1">OFFSET('PERIOD 2'!$K$63,MATCH($A11,'PERIOD 2'!$A$64:$A$70,0),MATCH(W$1,'PERIOD 2'!$L$3:$N$3,0))</f>
        <v>#N/A</v>
      </c>
      <c r="X11" s="107" t="e">
        <f ca="1">OFFSET('PERIOD 2'!$K$63,MATCH($A11,'PERIOD 2'!$A$64:$A$70,0),MATCH(X$1,'PERIOD 2'!$L$3:$N$3,0))</f>
        <v>#N/A</v>
      </c>
      <c r="Y11" s="107" t="e">
        <f ca="1">OFFSET('PERIOD 2'!$K$63,MATCH($A11,'PERIOD 2'!$A$64:$A$70,0),MATCH(Y$1,'PERIOD 2'!$L$3:$N$3,0))</f>
        <v>#N/A</v>
      </c>
      <c r="Z11" s="107" t="e">
        <f ca="1">OFFSET('PERIOD 2'!$K$63,MATCH($A11,'PERIOD 2'!$A$64:$A$70,0),MATCH(Z$1,'PERIOD 2'!$L$3:$N$3,0))</f>
        <v>#N/A</v>
      </c>
      <c r="AA11" s="107" t="e">
        <f ca="1">OFFSET('PERIOD 2'!$K$63,MATCH($A11,'PERIOD 2'!$A$64:$A$70,0),MATCH(AA$1,'PERIOD 2'!$L$3:$N$3,0))</f>
        <v>#N/A</v>
      </c>
      <c r="AB11" s="107" t="e">
        <f ca="1">OFFSET('PERIOD 2'!$K$63,MATCH($A11,'PERIOD 2'!$A$64:$A$70,0),MATCH(AB$1,'PERIOD 2'!$L$3:$N$3,0))</f>
        <v>#N/A</v>
      </c>
      <c r="AC11" s="107" t="e">
        <f ca="1">OFFSET('PERIOD 2'!$K$63,MATCH($A11,'PERIOD 2'!$A$64:$A$70,0),MATCH(AC$1,'PERIOD 2'!$L$3:$N$3,0))</f>
        <v>#N/A</v>
      </c>
      <c r="AD11" s="107" t="e">
        <f ca="1">OFFSET('PERIOD 2'!$K$63,MATCH($A11,'PERIOD 2'!$A$64:$A$70,0),MATCH(AD$1,'PERIOD 2'!$L$3:$N$3,0))</f>
        <v>#N/A</v>
      </c>
      <c r="AE11" s="107" t="e">
        <f ca="1">OFFSET('PERIOD 2'!$K$63,MATCH($A11,'PERIOD 2'!$A$64:$A$70,0),MATCH(AE$1,'PERIOD 2'!$L$3:$N$3,0))</f>
        <v>#N/A</v>
      </c>
      <c r="AF11" s="107" t="e">
        <f ca="1">OFFSET('PERIOD 2'!$K$63,MATCH($A11,'PERIOD 2'!$A$64:$A$70,0),MATCH(AF$1,'PERIOD 2'!$L$3:$N$3,0))</f>
        <v>#N/A</v>
      </c>
      <c r="AG11" s="107" t="e">
        <f ca="1">OFFSET('PERIOD 2'!$K$63,MATCH($A11,'PERIOD 2'!$A$64:$A$70,0),MATCH(AG$1,'PERIOD 2'!$L$3:$N$3,0))</f>
        <v>#N/A</v>
      </c>
      <c r="AH11" s="107" t="e">
        <f ca="1">OFFSET('PERIOD 2'!$K$63,MATCH($A11,'PERIOD 2'!$A$64:$A$70,0),MATCH(AH$1,'PERIOD 2'!$L$3:$N$3,0))</f>
        <v>#N/A</v>
      </c>
      <c r="AI11" s="107" t="e">
        <f ca="1">OFFSET('PERIOD 2'!$K$63,MATCH($A11,'PERIOD 2'!$A$64:$A$70,0),MATCH(AI$1,'PERIOD 2'!$L$3:$N$3,0))</f>
        <v>#N/A</v>
      </c>
      <c r="AJ11" s="107" t="e">
        <f ca="1">OFFSET('PERIOD 2'!$K$63,MATCH($A11,'PERIOD 2'!$A$64:$A$70,0),MATCH(AJ$1,'PERIOD 2'!$L$3:$N$3,0))</f>
        <v>#N/A</v>
      </c>
      <c r="AK11" s="107" t="e">
        <f ca="1">OFFSET('PERIOD 2'!$K$63,MATCH($A11,'PERIOD 2'!$A$64:$A$70,0),MATCH(AK$1,'PERIOD 2'!$L$3:$N$3,0))</f>
        <v>#N/A</v>
      </c>
      <c r="AL11" s="107" t="e">
        <f ca="1">OFFSET('PERIOD 2'!$K$63,MATCH($A11,'PERIOD 2'!$A$64:$A$70,0),MATCH(AL$1,'PERIOD 2'!$L$3:$N$3,0))</f>
        <v>#N/A</v>
      </c>
      <c r="AM11" s="107" t="e">
        <f ca="1">OFFSET('PERIOD 2'!$K$63,MATCH($A11,'PERIOD 2'!$A$64:$A$70,0),MATCH(AM$1,'PERIOD 2'!$L$3:$N$3,0))</f>
        <v>#N/A</v>
      </c>
      <c r="AN11" s="107" t="e">
        <f ca="1">OFFSET('PERIOD 2'!$K$63,MATCH($A11,'PERIOD 2'!$A$64:$A$70,0),MATCH(AN$1,'PERIOD 2'!$L$3:$N$3,0))</f>
        <v>#N/A</v>
      </c>
      <c r="AO11" s="107" t="e">
        <f ca="1">OFFSET('PERIOD 2'!$K$63,MATCH($A11,'PERIOD 2'!$A$64:$A$70,0),MATCH(AO$1,'PERIOD 2'!$L$3:$N$3,0))</f>
        <v>#N/A</v>
      </c>
      <c r="AP11" s="107" t="e">
        <f ca="1">OFFSET('PERIOD 2'!$K$63,MATCH($A11,'PERIOD 2'!$A$64:$A$70,0),MATCH(AP$1,'PERIOD 2'!$L$3:$N$3,0))</f>
        <v>#N/A</v>
      </c>
      <c r="AQ11" s="107" t="e">
        <f ca="1">OFFSET('PERIOD 2'!$K$63,MATCH($A11,'PERIOD 2'!$A$64:$A$70,0),MATCH(AQ$1,'PERIOD 2'!$L$3:$N$3,0))</f>
        <v>#N/A</v>
      </c>
      <c r="AR11" s="107" t="e">
        <f ca="1">OFFSET('PERIOD 2'!$K$63,MATCH($A11,'PERIOD 2'!$A$64:$A$70,0),MATCH(AR$1,'PERIOD 2'!$L$3:$N$3,0))</f>
        <v>#N/A</v>
      </c>
      <c r="AS11" s="107" t="e">
        <f ca="1">OFFSET('PERIOD 2'!$K$63,MATCH($A11,'PERIOD 2'!$A$64:$A$70,0),MATCH(AS$1,'PERIOD 2'!$L$3:$N$3,0))</f>
        <v>#N/A</v>
      </c>
      <c r="AT11" s="107" t="e">
        <f ca="1">OFFSET('PERIOD 2'!$K$63,MATCH($A11,'PERIOD 2'!$A$64:$A$70,0),MATCH(AT$1,'PERIOD 2'!$L$3:$N$3,0))</f>
        <v>#N/A</v>
      </c>
      <c r="AU11" s="107" t="e">
        <f ca="1">OFFSET('PERIOD 2'!$K$63,MATCH($A11,'PERIOD 2'!$A$64:$A$70,0),MATCH(AU$1,'PERIOD 2'!$L$3:$N$3,0))</f>
        <v>#N/A</v>
      </c>
      <c r="AV11" s="107" t="e">
        <f ca="1">OFFSET('PERIOD 2'!$K$63,MATCH($A11,'PERIOD 2'!$A$64:$A$70,0),MATCH(AV$1,'PERIOD 2'!$L$3:$N$3,0))</f>
        <v>#N/A</v>
      </c>
      <c r="AW11" s="107" t="e">
        <f ca="1">OFFSET('PERIOD 2'!$K$63,MATCH($A11,'PERIOD 2'!$A$64:$A$70,0),MATCH(AW$1,'PERIOD 2'!$L$3:$N$3,0))</f>
        <v>#N/A</v>
      </c>
      <c r="AX11" s="107" t="e">
        <f ca="1">OFFSET('PERIOD 2'!$K$63,MATCH($A11,'PERIOD 2'!$A$64:$A$70,0),MATCH(AX$1,'PERIOD 2'!$L$3:$N$3,0))</f>
        <v>#N/A</v>
      </c>
    </row>
    <row r="12" spans="1:50" ht="10.199999999999999" outlineLevel="1" x14ac:dyDescent="0.2">
      <c r="A12" s="34" t="s">
        <v>54</v>
      </c>
      <c r="C12" s="107" t="e">
        <f ca="1">OFFSET('PERIOD 2'!$K$63,MATCH($A12,'PERIOD 2'!$A$64:$A$70,0),MATCH(C$1,'PERIOD 2'!$L$3:$N$3,0))</f>
        <v>#N/A</v>
      </c>
      <c r="D12" s="107" t="e">
        <f ca="1">OFFSET('PERIOD 2'!$K$63,MATCH($A12,'PERIOD 2'!$A$64:$A$70,0),MATCH(D$1,'PERIOD 2'!$L$3:$N$3,0))</f>
        <v>#N/A</v>
      </c>
      <c r="E12" s="107" t="e">
        <f ca="1">OFFSET('PERIOD 2'!$K$63,MATCH($A12,'PERIOD 2'!$A$64:$A$70,0),MATCH(E$1,'PERIOD 2'!$L$3:$N$3,0))</f>
        <v>#N/A</v>
      </c>
      <c r="F12" s="107" t="e">
        <f ca="1">OFFSET('PERIOD 2'!$K$63,MATCH($A12,'PERIOD 2'!$A$64:$A$70,0),MATCH(F$1,'PERIOD 2'!$L$3:$N$3,0))</f>
        <v>#N/A</v>
      </c>
      <c r="G12" s="107" t="e">
        <f ca="1">OFFSET('PERIOD 2'!$K$63,MATCH($A12,'PERIOD 2'!$A$64:$A$70,0),MATCH(G$1,'PERIOD 2'!$L$3:$N$3,0))</f>
        <v>#N/A</v>
      </c>
      <c r="H12" s="107" t="e">
        <f ca="1">OFFSET('PERIOD 2'!$K$63,MATCH($A12,'PERIOD 2'!$A$64:$A$70,0),MATCH(H$1,'PERIOD 2'!$L$3:$N$3,0))</f>
        <v>#N/A</v>
      </c>
      <c r="I12" s="107" t="e">
        <f ca="1">OFFSET('PERIOD 2'!$K$63,MATCH($A12,'PERIOD 2'!$A$64:$A$70,0),MATCH(I$1,'PERIOD 2'!$L$3:$N$3,0))</f>
        <v>#N/A</v>
      </c>
      <c r="J12" s="107" t="e">
        <f ca="1">OFFSET('PERIOD 2'!$K$63,MATCH($A12,'PERIOD 2'!$A$64:$A$70,0),MATCH(J$1,'PERIOD 2'!$L$3:$N$3,0))</f>
        <v>#N/A</v>
      </c>
      <c r="K12" s="107" t="e">
        <f ca="1">OFFSET('PERIOD 2'!$K$63,MATCH($A12,'PERIOD 2'!$A$64:$A$70,0),MATCH(K$1,'PERIOD 2'!$L$3:$N$3,0))</f>
        <v>#N/A</v>
      </c>
      <c r="L12" s="107" t="e">
        <f ca="1">OFFSET('PERIOD 2'!$K$63,MATCH($A12,'PERIOD 2'!$A$64:$A$70,0),MATCH(L$1,'PERIOD 2'!$L$3:$N$3,0))</f>
        <v>#N/A</v>
      </c>
      <c r="M12" s="107" t="e">
        <f ca="1">OFFSET('PERIOD 2'!$K$63,MATCH($A12,'PERIOD 2'!$A$64:$A$70,0),MATCH(M$1,'PERIOD 2'!$L$3:$N$3,0))</f>
        <v>#N/A</v>
      </c>
      <c r="N12" s="107" t="e">
        <f ca="1">OFFSET('PERIOD 2'!$K$63,MATCH($A12,'PERIOD 2'!$A$64:$A$70,0),MATCH(N$1,'PERIOD 2'!$L$3:$N$3,0))</f>
        <v>#N/A</v>
      </c>
      <c r="O12" s="107" t="e">
        <f ca="1">OFFSET('PERIOD 2'!$K$63,MATCH($A12,'PERIOD 2'!$A$64:$A$70,0),MATCH(O$1,'PERIOD 2'!$L$3:$N$3,0))</f>
        <v>#N/A</v>
      </c>
      <c r="P12" s="107" t="e">
        <f ca="1">OFFSET('PERIOD 2'!$K$63,MATCH($A12,'PERIOD 2'!$A$64:$A$70,0),MATCH(P$1,'PERIOD 2'!$L$3:$N$3,0))</f>
        <v>#N/A</v>
      </c>
      <c r="Q12" s="107" t="e">
        <f ca="1">OFFSET('PERIOD 2'!$K$63,MATCH($A12,'PERIOD 2'!$A$64:$A$70,0),MATCH(Q$1,'PERIOD 2'!$L$3:$N$3,0))</f>
        <v>#N/A</v>
      </c>
      <c r="R12" s="107" t="e">
        <f ca="1">OFFSET('PERIOD 2'!$K$63,MATCH($A12,'PERIOD 2'!$A$64:$A$70,0),MATCH(R$1,'PERIOD 2'!$L$3:$N$3,0))</f>
        <v>#N/A</v>
      </c>
      <c r="S12" s="107" t="e">
        <f ca="1">OFFSET('PERIOD 2'!$K$63,MATCH($A12,'PERIOD 2'!$A$64:$A$70,0),MATCH(S$1,'PERIOD 2'!$L$3:$N$3,0))</f>
        <v>#N/A</v>
      </c>
      <c r="T12" s="107" t="e">
        <f ca="1">OFFSET('PERIOD 2'!$K$63,MATCH($A12,'PERIOD 2'!$A$64:$A$70,0),MATCH(T$1,'PERIOD 2'!$L$3:$N$3,0))</f>
        <v>#N/A</v>
      </c>
      <c r="U12" s="107" t="e">
        <f ca="1">OFFSET('PERIOD 2'!$K$63,MATCH($A12,'PERIOD 2'!$A$64:$A$70,0),MATCH(U$1,'PERIOD 2'!$L$3:$N$3,0))</f>
        <v>#N/A</v>
      </c>
      <c r="V12" s="107" t="e">
        <f ca="1">OFFSET('PERIOD 2'!$K$63,MATCH($A12,'PERIOD 2'!$A$64:$A$70,0),MATCH(V$1,'PERIOD 2'!$L$3:$N$3,0))</f>
        <v>#N/A</v>
      </c>
      <c r="W12" s="107" t="e">
        <f ca="1">OFFSET('PERIOD 2'!$K$63,MATCH($A12,'PERIOD 2'!$A$64:$A$70,0),MATCH(W$1,'PERIOD 2'!$L$3:$N$3,0))</f>
        <v>#N/A</v>
      </c>
      <c r="X12" s="107" t="e">
        <f ca="1">OFFSET('PERIOD 2'!$K$63,MATCH($A12,'PERIOD 2'!$A$64:$A$70,0),MATCH(X$1,'PERIOD 2'!$L$3:$N$3,0))</f>
        <v>#N/A</v>
      </c>
      <c r="Y12" s="107" t="e">
        <f ca="1">OFFSET('PERIOD 2'!$K$63,MATCH($A12,'PERIOD 2'!$A$64:$A$70,0),MATCH(Y$1,'PERIOD 2'!$L$3:$N$3,0))</f>
        <v>#N/A</v>
      </c>
      <c r="Z12" s="107" t="e">
        <f ca="1">OFFSET('PERIOD 2'!$K$63,MATCH($A12,'PERIOD 2'!$A$64:$A$70,0),MATCH(Z$1,'PERIOD 2'!$L$3:$N$3,0))</f>
        <v>#N/A</v>
      </c>
      <c r="AA12" s="107" t="e">
        <f ca="1">OFFSET('PERIOD 2'!$K$63,MATCH($A12,'PERIOD 2'!$A$64:$A$70,0),MATCH(AA$1,'PERIOD 2'!$L$3:$N$3,0))</f>
        <v>#N/A</v>
      </c>
      <c r="AB12" s="107" t="e">
        <f ca="1">OFFSET('PERIOD 2'!$K$63,MATCH($A12,'PERIOD 2'!$A$64:$A$70,0),MATCH(AB$1,'PERIOD 2'!$L$3:$N$3,0))</f>
        <v>#N/A</v>
      </c>
      <c r="AC12" s="107" t="e">
        <f ca="1">OFFSET('PERIOD 2'!$K$63,MATCH($A12,'PERIOD 2'!$A$64:$A$70,0),MATCH(AC$1,'PERIOD 2'!$L$3:$N$3,0))</f>
        <v>#N/A</v>
      </c>
      <c r="AD12" s="107" t="e">
        <f ca="1">OFFSET('PERIOD 2'!$K$63,MATCH($A12,'PERIOD 2'!$A$64:$A$70,0),MATCH(AD$1,'PERIOD 2'!$L$3:$N$3,0))</f>
        <v>#N/A</v>
      </c>
      <c r="AE12" s="107" t="e">
        <f ca="1">OFFSET('PERIOD 2'!$K$63,MATCH($A12,'PERIOD 2'!$A$64:$A$70,0),MATCH(AE$1,'PERIOD 2'!$L$3:$N$3,0))</f>
        <v>#N/A</v>
      </c>
      <c r="AF12" s="107" t="e">
        <f ca="1">OFFSET('PERIOD 2'!$K$63,MATCH($A12,'PERIOD 2'!$A$64:$A$70,0),MATCH(AF$1,'PERIOD 2'!$L$3:$N$3,0))</f>
        <v>#N/A</v>
      </c>
      <c r="AG12" s="107" t="e">
        <f ca="1">OFFSET('PERIOD 2'!$K$63,MATCH($A12,'PERIOD 2'!$A$64:$A$70,0),MATCH(AG$1,'PERIOD 2'!$L$3:$N$3,0))</f>
        <v>#N/A</v>
      </c>
      <c r="AH12" s="107" t="e">
        <f ca="1">OFFSET('PERIOD 2'!$K$63,MATCH($A12,'PERIOD 2'!$A$64:$A$70,0),MATCH(AH$1,'PERIOD 2'!$L$3:$N$3,0))</f>
        <v>#N/A</v>
      </c>
      <c r="AI12" s="107" t="e">
        <f ca="1">OFFSET('PERIOD 2'!$K$63,MATCH($A12,'PERIOD 2'!$A$64:$A$70,0),MATCH(AI$1,'PERIOD 2'!$L$3:$N$3,0))</f>
        <v>#N/A</v>
      </c>
      <c r="AJ12" s="107" t="e">
        <f ca="1">OFFSET('PERIOD 2'!$K$63,MATCH($A12,'PERIOD 2'!$A$64:$A$70,0),MATCH(AJ$1,'PERIOD 2'!$L$3:$N$3,0))</f>
        <v>#N/A</v>
      </c>
      <c r="AK12" s="107" t="e">
        <f ca="1">OFFSET('PERIOD 2'!$K$63,MATCH($A12,'PERIOD 2'!$A$64:$A$70,0),MATCH(AK$1,'PERIOD 2'!$L$3:$N$3,0))</f>
        <v>#N/A</v>
      </c>
      <c r="AL12" s="107" t="e">
        <f ca="1">OFFSET('PERIOD 2'!$K$63,MATCH($A12,'PERIOD 2'!$A$64:$A$70,0),MATCH(AL$1,'PERIOD 2'!$L$3:$N$3,0))</f>
        <v>#N/A</v>
      </c>
      <c r="AM12" s="107" t="e">
        <f ca="1">OFFSET('PERIOD 2'!$K$63,MATCH($A12,'PERIOD 2'!$A$64:$A$70,0),MATCH(AM$1,'PERIOD 2'!$L$3:$N$3,0))</f>
        <v>#N/A</v>
      </c>
      <c r="AN12" s="107" t="e">
        <f ca="1">OFFSET('PERIOD 2'!$K$63,MATCH($A12,'PERIOD 2'!$A$64:$A$70,0),MATCH(AN$1,'PERIOD 2'!$L$3:$N$3,0))</f>
        <v>#N/A</v>
      </c>
      <c r="AO12" s="107" t="e">
        <f ca="1">OFFSET('PERIOD 2'!$K$63,MATCH($A12,'PERIOD 2'!$A$64:$A$70,0),MATCH(AO$1,'PERIOD 2'!$L$3:$N$3,0))</f>
        <v>#N/A</v>
      </c>
      <c r="AP12" s="107" t="e">
        <f ca="1">OFFSET('PERIOD 2'!$K$63,MATCH($A12,'PERIOD 2'!$A$64:$A$70,0),MATCH(AP$1,'PERIOD 2'!$L$3:$N$3,0))</f>
        <v>#N/A</v>
      </c>
      <c r="AQ12" s="107" t="e">
        <f ca="1">OFFSET('PERIOD 2'!$K$63,MATCH($A12,'PERIOD 2'!$A$64:$A$70,0),MATCH(AQ$1,'PERIOD 2'!$L$3:$N$3,0))</f>
        <v>#N/A</v>
      </c>
      <c r="AR12" s="107" t="e">
        <f ca="1">OFFSET('PERIOD 2'!$K$63,MATCH($A12,'PERIOD 2'!$A$64:$A$70,0),MATCH(AR$1,'PERIOD 2'!$L$3:$N$3,0))</f>
        <v>#N/A</v>
      </c>
      <c r="AS12" s="107" t="e">
        <f ca="1">OFFSET('PERIOD 2'!$K$63,MATCH($A12,'PERIOD 2'!$A$64:$A$70,0),MATCH(AS$1,'PERIOD 2'!$L$3:$N$3,0))</f>
        <v>#N/A</v>
      </c>
      <c r="AT12" s="107" t="e">
        <f ca="1">OFFSET('PERIOD 2'!$K$63,MATCH($A12,'PERIOD 2'!$A$64:$A$70,0),MATCH(AT$1,'PERIOD 2'!$L$3:$N$3,0))</f>
        <v>#N/A</v>
      </c>
      <c r="AU12" s="107" t="e">
        <f ca="1">OFFSET('PERIOD 2'!$K$63,MATCH($A12,'PERIOD 2'!$A$64:$A$70,0),MATCH(AU$1,'PERIOD 2'!$L$3:$N$3,0))</f>
        <v>#N/A</v>
      </c>
      <c r="AV12" s="107" t="e">
        <f ca="1">OFFSET('PERIOD 2'!$K$63,MATCH($A12,'PERIOD 2'!$A$64:$A$70,0),MATCH(AV$1,'PERIOD 2'!$L$3:$N$3,0))</f>
        <v>#N/A</v>
      </c>
      <c r="AW12" s="107" t="e">
        <f ca="1">OFFSET('PERIOD 2'!$K$63,MATCH($A12,'PERIOD 2'!$A$64:$A$70,0),MATCH(AW$1,'PERIOD 2'!$L$3:$N$3,0))</f>
        <v>#N/A</v>
      </c>
      <c r="AX12" s="107" t="e">
        <f ca="1">OFFSET('PERIOD 2'!$K$63,MATCH($A12,'PERIOD 2'!$A$64:$A$70,0),MATCH(AX$1,'PERIOD 2'!$L$3:$N$3,0))</f>
        <v>#N/A</v>
      </c>
    </row>
    <row r="13" spans="1:50" ht="10.199999999999999" outlineLevel="1" x14ac:dyDescent="0.2">
      <c r="A13" s="34" t="s">
        <v>36</v>
      </c>
      <c r="C13" s="107" t="e">
        <f ca="1">OFFSET('PERIOD 2'!$K$63,MATCH($A13,'PERIOD 2'!$A$64:$A$70,0),MATCH(C$1,'PERIOD 2'!$L$3:$N$3,0))</f>
        <v>#N/A</v>
      </c>
      <c r="D13" s="107" t="e">
        <f ca="1">OFFSET('PERIOD 2'!$K$63,MATCH($A13,'PERIOD 2'!$A$64:$A$70,0),MATCH(D$1,'PERIOD 2'!$L$3:$N$3,0))</f>
        <v>#N/A</v>
      </c>
      <c r="E13" s="107" t="e">
        <f ca="1">OFFSET('PERIOD 2'!$K$63,MATCH($A13,'PERIOD 2'!$A$64:$A$70,0),MATCH(E$1,'PERIOD 2'!$L$3:$N$3,0))</f>
        <v>#N/A</v>
      </c>
      <c r="F13" s="107" t="e">
        <f ca="1">OFFSET('PERIOD 2'!$K$63,MATCH($A13,'PERIOD 2'!$A$64:$A$70,0),MATCH(F$1,'PERIOD 2'!$L$3:$N$3,0))</f>
        <v>#N/A</v>
      </c>
      <c r="G13" s="107" t="e">
        <f ca="1">OFFSET('PERIOD 2'!$K$63,MATCH($A13,'PERIOD 2'!$A$64:$A$70,0),MATCH(G$1,'PERIOD 2'!$L$3:$N$3,0))</f>
        <v>#N/A</v>
      </c>
      <c r="H13" s="107" t="e">
        <f ca="1">OFFSET('PERIOD 2'!$K$63,MATCH($A13,'PERIOD 2'!$A$64:$A$70,0),MATCH(H$1,'PERIOD 2'!$L$3:$N$3,0))</f>
        <v>#N/A</v>
      </c>
      <c r="I13" s="107" t="e">
        <f ca="1">OFFSET('PERIOD 2'!$K$63,MATCH($A13,'PERIOD 2'!$A$64:$A$70,0),MATCH(I$1,'PERIOD 2'!$L$3:$N$3,0))</f>
        <v>#N/A</v>
      </c>
      <c r="J13" s="107" t="e">
        <f ca="1">OFFSET('PERIOD 2'!$K$63,MATCH($A13,'PERIOD 2'!$A$64:$A$70,0),MATCH(J$1,'PERIOD 2'!$L$3:$N$3,0))</f>
        <v>#N/A</v>
      </c>
      <c r="K13" s="107" t="e">
        <f ca="1">OFFSET('PERIOD 2'!$K$63,MATCH($A13,'PERIOD 2'!$A$64:$A$70,0),MATCH(K$1,'PERIOD 2'!$L$3:$N$3,0))</f>
        <v>#N/A</v>
      </c>
      <c r="L13" s="107" t="e">
        <f ca="1">OFFSET('PERIOD 2'!$K$63,MATCH($A13,'PERIOD 2'!$A$64:$A$70,0),MATCH(L$1,'PERIOD 2'!$L$3:$N$3,0))</f>
        <v>#N/A</v>
      </c>
      <c r="M13" s="107" t="e">
        <f ca="1">OFFSET('PERIOD 2'!$K$63,MATCH($A13,'PERIOD 2'!$A$64:$A$70,0),MATCH(M$1,'PERIOD 2'!$L$3:$N$3,0))</f>
        <v>#N/A</v>
      </c>
      <c r="N13" s="107" t="e">
        <f ca="1">OFFSET('PERIOD 2'!$K$63,MATCH($A13,'PERIOD 2'!$A$64:$A$70,0),MATCH(N$1,'PERIOD 2'!$L$3:$N$3,0))</f>
        <v>#N/A</v>
      </c>
      <c r="O13" s="107" t="e">
        <f ca="1">OFFSET('PERIOD 2'!$K$63,MATCH($A13,'PERIOD 2'!$A$64:$A$70,0),MATCH(O$1,'PERIOD 2'!$L$3:$N$3,0))</f>
        <v>#N/A</v>
      </c>
      <c r="P13" s="107" t="e">
        <f ca="1">OFFSET('PERIOD 2'!$K$63,MATCH($A13,'PERIOD 2'!$A$64:$A$70,0),MATCH(P$1,'PERIOD 2'!$L$3:$N$3,0))</f>
        <v>#N/A</v>
      </c>
      <c r="Q13" s="107" t="e">
        <f ca="1">OFFSET('PERIOD 2'!$K$63,MATCH($A13,'PERIOD 2'!$A$64:$A$70,0),MATCH(Q$1,'PERIOD 2'!$L$3:$N$3,0))</f>
        <v>#N/A</v>
      </c>
      <c r="R13" s="107" t="e">
        <f ca="1">OFFSET('PERIOD 2'!$K$63,MATCH($A13,'PERIOD 2'!$A$64:$A$70,0),MATCH(R$1,'PERIOD 2'!$L$3:$N$3,0))</f>
        <v>#N/A</v>
      </c>
      <c r="S13" s="107" t="e">
        <f ca="1">OFFSET('PERIOD 2'!$K$63,MATCH($A13,'PERIOD 2'!$A$64:$A$70,0),MATCH(S$1,'PERIOD 2'!$L$3:$N$3,0))</f>
        <v>#N/A</v>
      </c>
      <c r="T13" s="107" t="e">
        <f ca="1">OFFSET('PERIOD 2'!$K$63,MATCH($A13,'PERIOD 2'!$A$64:$A$70,0),MATCH(T$1,'PERIOD 2'!$L$3:$N$3,0))</f>
        <v>#N/A</v>
      </c>
      <c r="U13" s="107" t="e">
        <f ca="1">OFFSET('PERIOD 2'!$K$63,MATCH($A13,'PERIOD 2'!$A$64:$A$70,0),MATCH(U$1,'PERIOD 2'!$L$3:$N$3,0))</f>
        <v>#N/A</v>
      </c>
      <c r="V13" s="107" t="e">
        <f ca="1">OFFSET('PERIOD 2'!$K$63,MATCH($A13,'PERIOD 2'!$A$64:$A$70,0),MATCH(V$1,'PERIOD 2'!$L$3:$N$3,0))</f>
        <v>#N/A</v>
      </c>
      <c r="W13" s="107" t="e">
        <f ca="1">OFFSET('PERIOD 2'!$K$63,MATCH($A13,'PERIOD 2'!$A$64:$A$70,0),MATCH(W$1,'PERIOD 2'!$L$3:$N$3,0))</f>
        <v>#N/A</v>
      </c>
      <c r="X13" s="107" t="e">
        <f ca="1">OFFSET('PERIOD 2'!$K$63,MATCH($A13,'PERIOD 2'!$A$64:$A$70,0),MATCH(X$1,'PERIOD 2'!$L$3:$N$3,0))</f>
        <v>#N/A</v>
      </c>
      <c r="Y13" s="107" t="e">
        <f ca="1">OFFSET('PERIOD 2'!$K$63,MATCH($A13,'PERIOD 2'!$A$64:$A$70,0),MATCH(Y$1,'PERIOD 2'!$L$3:$N$3,0))</f>
        <v>#N/A</v>
      </c>
      <c r="Z13" s="107" t="e">
        <f ca="1">OFFSET('PERIOD 2'!$K$63,MATCH($A13,'PERIOD 2'!$A$64:$A$70,0),MATCH(Z$1,'PERIOD 2'!$L$3:$N$3,0))</f>
        <v>#N/A</v>
      </c>
      <c r="AA13" s="107" t="e">
        <f ca="1">OFFSET('PERIOD 2'!$K$63,MATCH($A13,'PERIOD 2'!$A$64:$A$70,0),MATCH(AA$1,'PERIOD 2'!$L$3:$N$3,0))</f>
        <v>#N/A</v>
      </c>
      <c r="AB13" s="107" t="e">
        <f ca="1">OFFSET('PERIOD 2'!$K$63,MATCH($A13,'PERIOD 2'!$A$64:$A$70,0),MATCH(AB$1,'PERIOD 2'!$L$3:$N$3,0))</f>
        <v>#N/A</v>
      </c>
      <c r="AC13" s="107" t="e">
        <f ca="1">OFFSET('PERIOD 2'!$K$63,MATCH($A13,'PERIOD 2'!$A$64:$A$70,0),MATCH(AC$1,'PERIOD 2'!$L$3:$N$3,0))</f>
        <v>#N/A</v>
      </c>
      <c r="AD13" s="107" t="e">
        <f ca="1">OFFSET('PERIOD 2'!$K$63,MATCH($A13,'PERIOD 2'!$A$64:$A$70,0),MATCH(AD$1,'PERIOD 2'!$L$3:$N$3,0))</f>
        <v>#N/A</v>
      </c>
      <c r="AE13" s="107" t="e">
        <f ca="1">OFFSET('PERIOD 2'!$K$63,MATCH($A13,'PERIOD 2'!$A$64:$A$70,0),MATCH(AE$1,'PERIOD 2'!$L$3:$N$3,0))</f>
        <v>#N/A</v>
      </c>
      <c r="AF13" s="107" t="e">
        <f ca="1">OFFSET('PERIOD 2'!$K$63,MATCH($A13,'PERIOD 2'!$A$64:$A$70,0),MATCH(AF$1,'PERIOD 2'!$L$3:$N$3,0))</f>
        <v>#N/A</v>
      </c>
      <c r="AG13" s="107" t="e">
        <f ca="1">OFFSET('PERIOD 2'!$K$63,MATCH($A13,'PERIOD 2'!$A$64:$A$70,0),MATCH(AG$1,'PERIOD 2'!$L$3:$N$3,0))</f>
        <v>#N/A</v>
      </c>
      <c r="AH13" s="107" t="e">
        <f ca="1">OFFSET('PERIOD 2'!$K$63,MATCH($A13,'PERIOD 2'!$A$64:$A$70,0),MATCH(AH$1,'PERIOD 2'!$L$3:$N$3,0))</f>
        <v>#N/A</v>
      </c>
      <c r="AI13" s="107" t="e">
        <f ca="1">OFFSET('PERIOD 2'!$K$63,MATCH($A13,'PERIOD 2'!$A$64:$A$70,0),MATCH(AI$1,'PERIOD 2'!$L$3:$N$3,0))</f>
        <v>#N/A</v>
      </c>
      <c r="AJ13" s="107" t="e">
        <f ca="1">OFFSET('PERIOD 2'!$K$63,MATCH($A13,'PERIOD 2'!$A$64:$A$70,0),MATCH(AJ$1,'PERIOD 2'!$L$3:$N$3,0))</f>
        <v>#N/A</v>
      </c>
      <c r="AK13" s="107" t="e">
        <f ca="1">OFFSET('PERIOD 2'!$K$63,MATCH($A13,'PERIOD 2'!$A$64:$A$70,0),MATCH(AK$1,'PERIOD 2'!$L$3:$N$3,0))</f>
        <v>#N/A</v>
      </c>
      <c r="AL13" s="107" t="e">
        <f ca="1">OFFSET('PERIOD 2'!$K$63,MATCH($A13,'PERIOD 2'!$A$64:$A$70,0),MATCH(AL$1,'PERIOD 2'!$L$3:$N$3,0))</f>
        <v>#N/A</v>
      </c>
      <c r="AM13" s="107" t="e">
        <f ca="1">OFFSET('PERIOD 2'!$K$63,MATCH($A13,'PERIOD 2'!$A$64:$A$70,0),MATCH(AM$1,'PERIOD 2'!$L$3:$N$3,0))</f>
        <v>#N/A</v>
      </c>
      <c r="AN13" s="107" t="e">
        <f ca="1">OFFSET('PERIOD 2'!$K$63,MATCH($A13,'PERIOD 2'!$A$64:$A$70,0),MATCH(AN$1,'PERIOD 2'!$L$3:$N$3,0))</f>
        <v>#N/A</v>
      </c>
      <c r="AO13" s="107" t="e">
        <f ca="1">OFFSET('PERIOD 2'!$K$63,MATCH($A13,'PERIOD 2'!$A$64:$A$70,0),MATCH(AO$1,'PERIOD 2'!$L$3:$N$3,0))</f>
        <v>#N/A</v>
      </c>
      <c r="AP13" s="107" t="e">
        <f ca="1">OFFSET('PERIOD 2'!$K$63,MATCH($A13,'PERIOD 2'!$A$64:$A$70,0),MATCH(AP$1,'PERIOD 2'!$L$3:$N$3,0))</f>
        <v>#N/A</v>
      </c>
      <c r="AQ13" s="107" t="e">
        <f ca="1">OFFSET('PERIOD 2'!$K$63,MATCH($A13,'PERIOD 2'!$A$64:$A$70,0),MATCH(AQ$1,'PERIOD 2'!$L$3:$N$3,0))</f>
        <v>#N/A</v>
      </c>
      <c r="AR13" s="107" t="e">
        <f ca="1">OFFSET('PERIOD 2'!$K$63,MATCH($A13,'PERIOD 2'!$A$64:$A$70,0),MATCH(AR$1,'PERIOD 2'!$L$3:$N$3,0))</f>
        <v>#N/A</v>
      </c>
      <c r="AS13" s="107" t="e">
        <f ca="1">OFFSET('PERIOD 2'!$K$63,MATCH($A13,'PERIOD 2'!$A$64:$A$70,0),MATCH(AS$1,'PERIOD 2'!$L$3:$N$3,0))</f>
        <v>#N/A</v>
      </c>
      <c r="AT13" s="107" t="e">
        <f ca="1">OFFSET('PERIOD 2'!$K$63,MATCH($A13,'PERIOD 2'!$A$64:$A$70,0),MATCH(AT$1,'PERIOD 2'!$L$3:$N$3,0))</f>
        <v>#N/A</v>
      </c>
      <c r="AU13" s="107" t="e">
        <f ca="1">OFFSET('PERIOD 2'!$K$63,MATCH($A13,'PERIOD 2'!$A$64:$A$70,0),MATCH(AU$1,'PERIOD 2'!$L$3:$N$3,0))</f>
        <v>#N/A</v>
      </c>
      <c r="AV13" s="107" t="e">
        <f ca="1">OFFSET('PERIOD 2'!$K$63,MATCH($A13,'PERIOD 2'!$A$64:$A$70,0),MATCH(AV$1,'PERIOD 2'!$L$3:$N$3,0))</f>
        <v>#N/A</v>
      </c>
      <c r="AW13" s="107" t="e">
        <f ca="1">OFFSET('PERIOD 2'!$K$63,MATCH($A13,'PERIOD 2'!$A$64:$A$70,0),MATCH(AW$1,'PERIOD 2'!$L$3:$N$3,0))</f>
        <v>#N/A</v>
      </c>
      <c r="AX13" s="107" t="e">
        <f ca="1">OFFSET('PERIOD 2'!$K$63,MATCH($A13,'PERIOD 2'!$A$64:$A$70,0),MATCH(AX$1,'PERIOD 2'!$L$3:$N$3,0))</f>
        <v>#N/A</v>
      </c>
    </row>
    <row r="14" spans="1:50" ht="10.199999999999999" outlineLevel="1" x14ac:dyDescent="0.2">
      <c r="A14" s="38" t="s">
        <v>40</v>
      </c>
      <c r="B14" s="38"/>
      <c r="C14" s="40" t="e">
        <f t="shared" ref="C14:W14" ca="1" si="2">SUM(C11:C13)</f>
        <v>#N/A</v>
      </c>
      <c r="D14" s="40" t="e">
        <f t="shared" ca="1" si="2"/>
        <v>#N/A</v>
      </c>
      <c r="E14" s="40" t="e">
        <f t="shared" ca="1" si="2"/>
        <v>#N/A</v>
      </c>
      <c r="F14" s="40" t="e">
        <f t="shared" ca="1" si="2"/>
        <v>#N/A</v>
      </c>
      <c r="G14" s="40" t="e">
        <f t="shared" ca="1" si="2"/>
        <v>#N/A</v>
      </c>
      <c r="H14" s="40" t="e">
        <f t="shared" ca="1" si="2"/>
        <v>#N/A</v>
      </c>
      <c r="I14" s="40" t="e">
        <f t="shared" ca="1" si="2"/>
        <v>#N/A</v>
      </c>
      <c r="J14" s="40" t="e">
        <f t="shared" ca="1" si="2"/>
        <v>#N/A</v>
      </c>
      <c r="K14" s="40" t="e">
        <f t="shared" ca="1" si="2"/>
        <v>#N/A</v>
      </c>
      <c r="L14" s="40" t="e">
        <f ca="1">SUM(L11:L13)</f>
        <v>#N/A</v>
      </c>
      <c r="M14" s="40" t="e">
        <f t="shared" ca="1" si="2"/>
        <v>#N/A</v>
      </c>
      <c r="N14" s="40" t="e">
        <f t="shared" ca="1" si="2"/>
        <v>#N/A</v>
      </c>
      <c r="O14" s="40" t="e">
        <f t="shared" ca="1" si="2"/>
        <v>#N/A</v>
      </c>
      <c r="P14" s="40" t="e">
        <f t="shared" ca="1" si="2"/>
        <v>#N/A</v>
      </c>
      <c r="Q14" s="40" t="e">
        <f t="shared" ca="1" si="2"/>
        <v>#N/A</v>
      </c>
      <c r="R14" s="40" t="e">
        <f t="shared" ca="1" si="2"/>
        <v>#N/A</v>
      </c>
      <c r="S14" s="40" t="e">
        <f ca="1">SUM(S11:S13)</f>
        <v>#N/A</v>
      </c>
      <c r="T14" s="40" t="e">
        <f ca="1">SUM(T11:T13)</f>
        <v>#N/A</v>
      </c>
      <c r="U14" s="40" t="e">
        <f ca="1">SUM(U11:U13)</f>
        <v>#N/A</v>
      </c>
      <c r="V14" s="40" t="e">
        <f t="shared" ca="1" si="2"/>
        <v>#N/A</v>
      </c>
      <c r="W14" s="40" t="e">
        <f t="shared" ca="1" si="2"/>
        <v>#N/A</v>
      </c>
      <c r="X14" s="40" t="e">
        <f ca="1">SUM(X11:X13)</f>
        <v>#N/A</v>
      </c>
      <c r="Y14" s="40" t="e">
        <f t="shared" ref="Y14:AX14" ca="1" si="3">SUM(Y11:Y13)</f>
        <v>#N/A</v>
      </c>
      <c r="Z14" s="40" t="e">
        <f t="shared" ca="1" si="3"/>
        <v>#N/A</v>
      </c>
      <c r="AA14" s="40" t="e">
        <f t="shared" ca="1" si="3"/>
        <v>#N/A</v>
      </c>
      <c r="AB14" s="40" t="e">
        <f t="shared" ca="1" si="3"/>
        <v>#N/A</v>
      </c>
      <c r="AC14" s="40" t="e">
        <f t="shared" ca="1" si="3"/>
        <v>#N/A</v>
      </c>
      <c r="AD14" s="40" t="e">
        <f t="shared" ca="1" si="3"/>
        <v>#N/A</v>
      </c>
      <c r="AE14" s="40" t="e">
        <f t="shared" ca="1" si="3"/>
        <v>#N/A</v>
      </c>
      <c r="AF14" s="40" t="e">
        <f t="shared" ca="1" si="3"/>
        <v>#N/A</v>
      </c>
      <c r="AG14" s="40" t="e">
        <f t="shared" ca="1" si="3"/>
        <v>#N/A</v>
      </c>
      <c r="AH14" s="40" t="e">
        <f t="shared" ca="1" si="3"/>
        <v>#N/A</v>
      </c>
      <c r="AI14" s="40" t="e">
        <f t="shared" ca="1" si="3"/>
        <v>#N/A</v>
      </c>
      <c r="AJ14" s="40" t="e">
        <f t="shared" ca="1" si="3"/>
        <v>#N/A</v>
      </c>
      <c r="AK14" s="40" t="e">
        <f t="shared" ca="1" si="3"/>
        <v>#N/A</v>
      </c>
      <c r="AL14" s="40" t="e">
        <f t="shared" ca="1" si="3"/>
        <v>#N/A</v>
      </c>
      <c r="AM14" s="40" t="e">
        <f t="shared" ca="1" si="3"/>
        <v>#N/A</v>
      </c>
      <c r="AN14" s="40" t="e">
        <f t="shared" ca="1" si="3"/>
        <v>#N/A</v>
      </c>
      <c r="AO14" s="40" t="e">
        <f t="shared" ca="1" si="3"/>
        <v>#N/A</v>
      </c>
      <c r="AP14" s="40" t="e">
        <f t="shared" ca="1" si="3"/>
        <v>#N/A</v>
      </c>
      <c r="AQ14" s="40" t="e">
        <f t="shared" ca="1" si="3"/>
        <v>#N/A</v>
      </c>
      <c r="AR14" s="40" t="e">
        <f t="shared" ca="1" si="3"/>
        <v>#N/A</v>
      </c>
      <c r="AS14" s="40" t="e">
        <f t="shared" ca="1" si="3"/>
        <v>#N/A</v>
      </c>
      <c r="AT14" s="40" t="e">
        <f t="shared" ca="1" si="3"/>
        <v>#N/A</v>
      </c>
      <c r="AU14" s="40" t="e">
        <f t="shared" ca="1" si="3"/>
        <v>#N/A</v>
      </c>
      <c r="AV14" s="40" t="e">
        <f t="shared" ca="1" si="3"/>
        <v>#N/A</v>
      </c>
      <c r="AW14" s="40" t="e">
        <f t="shared" ca="1" si="3"/>
        <v>#N/A</v>
      </c>
      <c r="AX14" s="40" t="e">
        <f t="shared" ca="1" si="3"/>
        <v>#N/A</v>
      </c>
    </row>
    <row r="15" spans="1:50" ht="10.199999999999999" outlineLevel="1" x14ac:dyDescent="0.2">
      <c r="C15" s="39"/>
      <c r="D15" s="107"/>
      <c r="E15" s="39"/>
      <c r="F15" s="107"/>
      <c r="G15" s="107"/>
      <c r="H15" s="107"/>
      <c r="I15" s="107"/>
      <c r="J15" s="107"/>
      <c r="K15" s="107"/>
      <c r="L15" s="107"/>
      <c r="M15" s="39"/>
      <c r="N15" s="39"/>
      <c r="O15" s="39"/>
      <c r="P15" s="107"/>
      <c r="Q15" s="39"/>
      <c r="R15" s="107"/>
      <c r="S15" s="107"/>
      <c r="T15" s="107"/>
      <c r="U15" s="39"/>
      <c r="V15" s="107"/>
      <c r="W15" s="107"/>
      <c r="Y15" s="34"/>
    </row>
    <row r="16" spans="1:50" ht="10.199999999999999" outlineLevel="1" x14ac:dyDescent="0.2">
      <c r="A16" s="38" t="s">
        <v>42</v>
      </c>
      <c r="B16" s="38"/>
      <c r="C16" s="108"/>
      <c r="D16" s="107"/>
      <c r="E16" s="39"/>
      <c r="F16" s="107"/>
      <c r="G16" s="107"/>
      <c r="H16" s="107"/>
      <c r="I16" s="107"/>
      <c r="J16" s="107"/>
      <c r="K16" s="107"/>
      <c r="L16" s="107"/>
      <c r="M16" s="39"/>
      <c r="N16" s="39"/>
      <c r="O16" s="39"/>
      <c r="P16" s="107"/>
      <c r="Q16" s="39"/>
      <c r="R16" s="107"/>
      <c r="S16" s="107"/>
      <c r="T16" s="107"/>
      <c r="U16" s="39"/>
      <c r="V16" s="107"/>
      <c r="W16" s="107"/>
      <c r="Y16" s="34"/>
    </row>
    <row r="17" spans="1:50" ht="10.199999999999999" outlineLevel="1" x14ac:dyDescent="0.2">
      <c r="A17" s="34" t="s">
        <v>10</v>
      </c>
      <c r="C17" s="107" t="e">
        <f ca="1">OFFSET('PERIOD 3'!$K$17,MATCH($A17,'PERIOD 3'!$A$18:$A$18,0),MATCH(C$1,'PERIOD 3'!$L$3:$N$3,0))</f>
        <v>#N/A</v>
      </c>
      <c r="D17" s="107" t="e">
        <f ca="1">OFFSET('PERIOD 3'!$K$17,MATCH($A17,'PERIOD 3'!$A$18:$A$18,0),MATCH(D$1,'PERIOD 3'!$L$3:$N$3,0))</f>
        <v>#N/A</v>
      </c>
      <c r="E17" s="107" t="e">
        <f ca="1">OFFSET('PERIOD 3'!$K$17,MATCH($A17,'PERIOD 3'!$A$18:$A$18,0),MATCH(E$1,'PERIOD 3'!$L$3:$N$3,0))</f>
        <v>#N/A</v>
      </c>
      <c r="F17" s="107" t="e">
        <f ca="1">OFFSET('PERIOD 3'!$K$17,MATCH($A17,'PERIOD 3'!$A$18:$A$18,0),MATCH(F$1,'PERIOD 3'!$L$3:$N$3,0))</f>
        <v>#N/A</v>
      </c>
      <c r="G17" s="107" t="e">
        <f ca="1">OFFSET('PERIOD 3'!$K$17,MATCH($A17,'PERIOD 3'!$A$18:$A$18,0),MATCH(G$1,'PERIOD 3'!$L$3:$N$3,0))</f>
        <v>#N/A</v>
      </c>
      <c r="H17" s="107" t="e">
        <f ca="1">OFFSET('PERIOD 3'!$K$17,MATCH($A17,'PERIOD 3'!$A$18:$A$18,0),MATCH(H$1,'PERIOD 3'!$L$3:$N$3,0))</f>
        <v>#N/A</v>
      </c>
      <c r="I17" s="107" t="e">
        <f ca="1">OFFSET('PERIOD 3'!$K$17,MATCH($A17,'PERIOD 3'!$A$18:$A$18,0),MATCH(I$1,'PERIOD 3'!$L$3:$N$3,0))</f>
        <v>#N/A</v>
      </c>
      <c r="J17" s="107" t="e">
        <f ca="1">OFFSET('PERIOD 3'!$K$17,MATCH($A17,'PERIOD 3'!$A$18:$A$18,0),MATCH(J$1,'PERIOD 3'!$L$3:$N$3,0))</f>
        <v>#N/A</v>
      </c>
      <c r="K17" s="107" t="e">
        <f ca="1">OFFSET('PERIOD 3'!$K$17,MATCH($A17,'PERIOD 3'!$A$18:$A$18,0),MATCH(K$1,'PERIOD 3'!$L$3:$N$3,0))</f>
        <v>#N/A</v>
      </c>
      <c r="L17" s="107" t="e">
        <f ca="1">OFFSET('PERIOD 3'!$K$17,MATCH($A17,'PERIOD 3'!$A$18:$A$18,0),MATCH(L$1,'PERIOD 3'!$L$3:$N$3,0))</f>
        <v>#N/A</v>
      </c>
      <c r="M17" s="107" t="e">
        <f ca="1">OFFSET('PERIOD 3'!$K$17,MATCH($A17,'PERIOD 3'!$A$18:$A$18,0),MATCH(M$1,'PERIOD 3'!$L$3:$N$3,0))</f>
        <v>#N/A</v>
      </c>
      <c r="N17" s="107" t="e">
        <f ca="1">OFFSET('PERIOD 3'!$K$17,MATCH($A17,'PERIOD 3'!$A$18:$A$18,0),MATCH(N$1,'PERIOD 3'!$L$3:$N$3,0))</f>
        <v>#N/A</v>
      </c>
      <c r="O17" s="107" t="e">
        <f ca="1">OFFSET('PERIOD 3'!$K$17,MATCH($A17,'PERIOD 3'!$A$18:$A$18,0),MATCH(O$1,'PERIOD 3'!$L$3:$N$3,0))</f>
        <v>#N/A</v>
      </c>
      <c r="P17" s="107" t="e">
        <f ca="1">OFFSET('PERIOD 3'!$K$17,MATCH($A17,'PERIOD 3'!$A$18:$A$18,0),MATCH(P$1,'PERIOD 3'!$L$3:$N$3,0))</f>
        <v>#N/A</v>
      </c>
      <c r="Q17" s="107" t="e">
        <f ca="1">OFFSET('PERIOD 3'!$K$17,MATCH($A17,'PERIOD 3'!$A$18:$A$18,0),MATCH(Q$1,'PERIOD 3'!$L$3:$N$3,0))</f>
        <v>#N/A</v>
      </c>
      <c r="R17" s="107" t="e">
        <f ca="1">OFFSET('PERIOD 3'!$K$17,MATCH($A17,'PERIOD 3'!$A$18:$A$18,0),MATCH(R$1,'PERIOD 3'!$L$3:$N$3,0))</f>
        <v>#N/A</v>
      </c>
      <c r="S17" s="107" t="e">
        <f ca="1">OFFSET('PERIOD 3'!$K$17,MATCH($A17,'PERIOD 3'!$A$18:$A$18,0),MATCH(S$1,'PERIOD 3'!$L$3:$N$3,0))</f>
        <v>#N/A</v>
      </c>
      <c r="T17" s="107" t="e">
        <f ca="1">OFFSET('PERIOD 3'!$K$17,MATCH($A17,'PERIOD 3'!$A$18:$A$18,0),MATCH(T$1,'PERIOD 3'!$L$3:$N$3,0))</f>
        <v>#N/A</v>
      </c>
      <c r="U17" s="107" t="e">
        <f ca="1">OFFSET('PERIOD 3'!$K$17,MATCH($A17,'PERIOD 3'!$A$18:$A$18,0),MATCH(U$1,'PERIOD 3'!$L$3:$N$3,0))</f>
        <v>#N/A</v>
      </c>
      <c r="V17" s="107" t="e">
        <f ca="1">OFFSET('PERIOD 3'!$K$17,MATCH($A17,'PERIOD 3'!$A$18:$A$18,0),MATCH(V$1,'PERIOD 3'!$L$3:$N$3,0))</f>
        <v>#N/A</v>
      </c>
      <c r="W17" s="107" t="e">
        <f ca="1">OFFSET('PERIOD 3'!$K$17,MATCH($A17,'PERIOD 3'!$A$18:$A$18,0),MATCH(W$1,'PERIOD 3'!$L$3:$N$3,0))</f>
        <v>#N/A</v>
      </c>
      <c r="X17" s="107" t="e">
        <f ca="1">OFFSET('PERIOD 3'!$K$17,MATCH($A17,'PERIOD 3'!$A$18:$A$18,0),MATCH(X$1,'PERIOD 3'!$L$3:$N$3,0))</f>
        <v>#N/A</v>
      </c>
      <c r="Y17" s="107" t="e">
        <f ca="1">OFFSET('PERIOD 3'!$K$17,MATCH($A17,'PERIOD 3'!$A$18:$A$18,0),MATCH(Y$1,'PERIOD 3'!$L$3:$N$3,0))</f>
        <v>#N/A</v>
      </c>
      <c r="Z17" s="107" t="e">
        <f ca="1">OFFSET('PERIOD 3'!$K$17,MATCH($A17,'PERIOD 3'!$A$18:$A$18,0),MATCH(Z$1,'PERIOD 3'!$L$3:$N$3,0))</f>
        <v>#N/A</v>
      </c>
      <c r="AA17" s="107" t="e">
        <f ca="1">OFFSET('PERIOD 3'!$K$17,MATCH($A17,'PERIOD 3'!$A$18:$A$18,0),MATCH(AA$1,'PERIOD 3'!$L$3:$N$3,0))</f>
        <v>#N/A</v>
      </c>
      <c r="AB17" s="107" t="e">
        <f ca="1">OFFSET('PERIOD 3'!$K$17,MATCH($A17,'PERIOD 3'!$A$18:$A$18,0),MATCH(AB$1,'PERIOD 3'!$L$3:$N$3,0))</f>
        <v>#N/A</v>
      </c>
      <c r="AC17" s="107" t="e">
        <f ca="1">OFFSET('PERIOD 3'!$K$17,MATCH($A17,'PERIOD 3'!$A$18:$A$18,0),MATCH(AC$1,'PERIOD 3'!$L$3:$N$3,0))</f>
        <v>#N/A</v>
      </c>
      <c r="AD17" s="107" t="e">
        <f ca="1">OFFSET('PERIOD 3'!$K$17,MATCH($A17,'PERIOD 3'!$A$18:$A$18,0),MATCH(AD$1,'PERIOD 3'!$L$3:$N$3,0))</f>
        <v>#N/A</v>
      </c>
      <c r="AE17" s="107" t="e">
        <f ca="1">OFFSET('PERIOD 3'!$K$17,MATCH($A17,'PERIOD 3'!$A$18:$A$18,0),MATCH(AE$1,'PERIOD 3'!$L$3:$N$3,0))</f>
        <v>#N/A</v>
      </c>
      <c r="AF17" s="107" t="e">
        <f ca="1">OFFSET('PERIOD 3'!$K$17,MATCH($A17,'PERIOD 3'!$A$18:$A$18,0),MATCH(AF$1,'PERIOD 3'!$L$3:$N$3,0))</f>
        <v>#N/A</v>
      </c>
      <c r="AG17" s="107" t="e">
        <f ca="1">OFFSET('PERIOD 3'!$K$17,MATCH($A17,'PERIOD 3'!$A$18:$A$18,0),MATCH(AG$1,'PERIOD 3'!$L$3:$N$3,0))</f>
        <v>#N/A</v>
      </c>
      <c r="AH17" s="107" t="e">
        <f ca="1">OFFSET('PERIOD 3'!$K$17,MATCH($A17,'PERIOD 3'!$A$18:$A$18,0),MATCH(AH$1,'PERIOD 3'!$L$3:$N$3,0))</f>
        <v>#N/A</v>
      </c>
      <c r="AI17" s="107" t="e">
        <f ca="1">OFFSET('PERIOD 3'!$K$17,MATCH($A17,'PERIOD 3'!$A$18:$A$18,0),MATCH(AI$1,'PERIOD 3'!$L$3:$N$3,0))</f>
        <v>#N/A</v>
      </c>
      <c r="AJ17" s="107" t="e">
        <f ca="1">OFFSET('PERIOD 3'!$K$17,MATCH($A17,'PERIOD 3'!$A$18:$A$18,0),MATCH(AJ$1,'PERIOD 3'!$L$3:$N$3,0))</f>
        <v>#N/A</v>
      </c>
      <c r="AK17" s="107" t="e">
        <f ca="1">OFFSET('PERIOD 3'!$K$17,MATCH($A17,'PERIOD 3'!$A$18:$A$18,0),MATCH(AK$1,'PERIOD 3'!$L$3:$N$3,0))</f>
        <v>#N/A</v>
      </c>
      <c r="AL17" s="107" t="e">
        <f ca="1">OFFSET('PERIOD 3'!$K$17,MATCH($A17,'PERIOD 3'!$A$18:$A$18,0),MATCH(AL$1,'PERIOD 3'!$L$3:$N$3,0))</f>
        <v>#N/A</v>
      </c>
      <c r="AM17" s="107" t="e">
        <f ca="1">OFFSET('PERIOD 3'!$K$17,MATCH($A17,'PERIOD 3'!$A$18:$A$18,0),MATCH(AM$1,'PERIOD 3'!$L$3:$N$3,0))</f>
        <v>#N/A</v>
      </c>
      <c r="AN17" s="107" t="e">
        <f ca="1">OFFSET('PERIOD 3'!$K$17,MATCH($A17,'PERIOD 3'!$A$18:$A$18,0),MATCH(AN$1,'PERIOD 3'!$L$3:$N$3,0))</f>
        <v>#N/A</v>
      </c>
      <c r="AO17" s="107" t="e">
        <f ca="1">OFFSET('PERIOD 3'!$K$17,MATCH($A17,'PERIOD 3'!$A$18:$A$18,0),MATCH(AO$1,'PERIOD 3'!$L$3:$N$3,0))</f>
        <v>#N/A</v>
      </c>
      <c r="AP17" s="107" t="e">
        <f ca="1">OFFSET('PERIOD 3'!$K$17,MATCH($A17,'PERIOD 3'!$A$18:$A$18,0),MATCH(AP$1,'PERIOD 3'!$L$3:$N$3,0))</f>
        <v>#N/A</v>
      </c>
      <c r="AQ17" s="107" t="e">
        <f ca="1">OFFSET('PERIOD 3'!$K$17,MATCH($A17,'PERIOD 3'!$A$18:$A$18,0),MATCH(AQ$1,'PERIOD 3'!$L$3:$N$3,0))</f>
        <v>#N/A</v>
      </c>
      <c r="AR17" s="107" t="e">
        <f ca="1">OFFSET('PERIOD 3'!$K$17,MATCH($A17,'PERIOD 3'!$A$18:$A$18,0),MATCH(AR$1,'PERIOD 3'!$L$3:$N$3,0))</f>
        <v>#N/A</v>
      </c>
      <c r="AS17" s="107" t="e">
        <f ca="1">OFFSET('PERIOD 3'!$K$17,MATCH($A17,'PERIOD 3'!$A$18:$A$18,0),MATCH(AS$1,'PERIOD 3'!$L$3:$N$3,0))</f>
        <v>#N/A</v>
      </c>
      <c r="AT17" s="107" t="e">
        <f ca="1">OFFSET('PERIOD 3'!$K$17,MATCH($A17,'PERIOD 3'!$A$18:$A$18,0),MATCH(AT$1,'PERIOD 3'!$L$3:$N$3,0))</f>
        <v>#N/A</v>
      </c>
      <c r="AU17" s="107" t="e">
        <f ca="1">OFFSET('PERIOD 3'!$K$17,MATCH($A17,'PERIOD 3'!$A$18:$A$18,0),MATCH(AU$1,'PERIOD 3'!$L$3:$N$3,0))</f>
        <v>#N/A</v>
      </c>
      <c r="AV17" s="107" t="e">
        <f ca="1">OFFSET('PERIOD 3'!$K$17,MATCH($A17,'PERIOD 3'!$A$18:$A$18,0),MATCH(AV$1,'PERIOD 3'!$L$3:$N$3,0))</f>
        <v>#N/A</v>
      </c>
      <c r="AW17" s="107" t="e">
        <f ca="1">OFFSET('PERIOD 3'!$K$17,MATCH($A17,'PERIOD 3'!$A$18:$A$18,0),MATCH(AW$1,'PERIOD 3'!$L$3:$N$3,0))</f>
        <v>#N/A</v>
      </c>
      <c r="AX17" s="107" t="e">
        <f ca="1">OFFSET('PERIOD 3'!$K$17,MATCH($A17,'PERIOD 3'!$A$18:$A$18,0),MATCH(AX$1,'PERIOD 3'!$L$3:$N$3,0))</f>
        <v>#N/A</v>
      </c>
    </row>
    <row r="18" spans="1:50" ht="10.199999999999999" outlineLevel="1" x14ac:dyDescent="0.2">
      <c r="A18" s="34" t="s">
        <v>39</v>
      </c>
      <c r="C18" s="107" t="e">
        <f ca="1">OFFSET('PERIOD 3'!$K$17,MATCH($A18,'PERIOD 3'!$A$18:$A$18,0),MATCH(C$1,'PERIOD 3'!$L$3:$N$3,0))</f>
        <v>#N/A</v>
      </c>
      <c r="D18" s="107" t="e">
        <f ca="1">OFFSET('PERIOD 3'!$K$17,MATCH($A18,'PERIOD 3'!$A$18:$A$18,0),MATCH(D$1,'PERIOD 3'!$L$3:$N$3,0))</f>
        <v>#N/A</v>
      </c>
      <c r="E18" s="107" t="e">
        <f ca="1">OFFSET('PERIOD 3'!$K$17,MATCH($A18,'PERIOD 3'!$A$18:$A$18,0),MATCH(E$1,'PERIOD 3'!$L$3:$N$3,0))</f>
        <v>#N/A</v>
      </c>
      <c r="F18" s="107" t="e">
        <f ca="1">OFFSET('PERIOD 3'!$K$17,MATCH($A18,'PERIOD 3'!$A$18:$A$18,0),MATCH(F$1,'PERIOD 3'!$L$3:$N$3,0))</f>
        <v>#N/A</v>
      </c>
      <c r="G18" s="107" t="e">
        <f ca="1">OFFSET('PERIOD 3'!$K$17,MATCH($A18,'PERIOD 3'!$A$18:$A$18,0),MATCH(G$1,'PERIOD 3'!$L$3:$N$3,0))</f>
        <v>#N/A</v>
      </c>
      <c r="H18" s="107" t="e">
        <f ca="1">OFFSET('PERIOD 3'!$K$17,MATCH($A18,'PERIOD 3'!$A$18:$A$18,0),MATCH(H$1,'PERIOD 3'!$L$3:$N$3,0))</f>
        <v>#N/A</v>
      </c>
      <c r="I18" s="107" t="e">
        <f ca="1">OFFSET('PERIOD 3'!$K$17,MATCH($A18,'PERIOD 3'!$A$18:$A$18,0),MATCH(I$1,'PERIOD 3'!$L$3:$N$3,0))</f>
        <v>#N/A</v>
      </c>
      <c r="J18" s="107" t="e">
        <f ca="1">OFFSET('PERIOD 3'!$K$17,MATCH($A18,'PERIOD 3'!$A$18:$A$18,0),MATCH(J$1,'PERIOD 3'!$L$3:$N$3,0))</f>
        <v>#N/A</v>
      </c>
      <c r="K18" s="107" t="e">
        <f ca="1">OFFSET('PERIOD 3'!$K$17,MATCH($A18,'PERIOD 3'!$A$18:$A$18,0),MATCH(K$1,'PERIOD 3'!$L$3:$N$3,0))</f>
        <v>#N/A</v>
      </c>
      <c r="L18" s="107" t="e">
        <f ca="1">OFFSET('PERIOD 3'!$K$17,MATCH($A18,'PERIOD 3'!$A$18:$A$18,0),MATCH(L$1,'PERIOD 3'!$L$3:$N$3,0))</f>
        <v>#N/A</v>
      </c>
      <c r="M18" s="107" t="e">
        <f ca="1">OFFSET('PERIOD 3'!$K$17,MATCH($A18,'PERIOD 3'!$A$18:$A$18,0),MATCH(M$1,'PERIOD 3'!$L$3:$N$3,0))</f>
        <v>#N/A</v>
      </c>
      <c r="N18" s="107" t="e">
        <f ca="1">OFFSET('PERIOD 3'!$K$17,MATCH($A18,'PERIOD 3'!$A$18:$A$18,0),MATCH(N$1,'PERIOD 3'!$L$3:$N$3,0))</f>
        <v>#N/A</v>
      </c>
      <c r="O18" s="107" t="e">
        <f ca="1">OFFSET('PERIOD 3'!$K$17,MATCH($A18,'PERIOD 3'!$A$18:$A$18,0),MATCH(O$1,'PERIOD 3'!$L$3:$N$3,0))</f>
        <v>#N/A</v>
      </c>
      <c r="P18" s="107" t="e">
        <f ca="1">OFFSET('PERIOD 3'!$K$17,MATCH($A18,'PERIOD 3'!$A$18:$A$18,0),MATCH(P$1,'PERIOD 3'!$L$3:$N$3,0))</f>
        <v>#N/A</v>
      </c>
      <c r="Q18" s="107" t="e">
        <f ca="1">OFFSET('PERIOD 3'!$K$17,MATCH($A18,'PERIOD 3'!$A$18:$A$18,0),MATCH(Q$1,'PERIOD 3'!$L$3:$N$3,0))</f>
        <v>#N/A</v>
      </c>
      <c r="R18" s="107" t="e">
        <f ca="1">OFFSET('PERIOD 3'!$K$17,MATCH($A18,'PERIOD 3'!$A$18:$A$18,0),MATCH(R$1,'PERIOD 3'!$L$3:$N$3,0))</f>
        <v>#N/A</v>
      </c>
      <c r="S18" s="107" t="e">
        <f ca="1">OFFSET('PERIOD 3'!$K$17,MATCH($A18,'PERIOD 3'!$A$18:$A$18,0),MATCH(S$1,'PERIOD 3'!$L$3:$N$3,0))</f>
        <v>#N/A</v>
      </c>
      <c r="T18" s="107" t="e">
        <f ca="1">OFFSET('PERIOD 3'!$K$17,MATCH($A18,'PERIOD 3'!$A$18:$A$18,0),MATCH(T$1,'PERIOD 3'!$L$3:$N$3,0))</f>
        <v>#N/A</v>
      </c>
      <c r="U18" s="107" t="e">
        <f ca="1">OFFSET('PERIOD 3'!$K$17,MATCH($A18,'PERIOD 3'!$A$18:$A$18,0),MATCH(U$1,'PERIOD 3'!$L$3:$N$3,0))</f>
        <v>#N/A</v>
      </c>
      <c r="V18" s="107" t="e">
        <f ca="1">OFFSET('PERIOD 3'!$K$17,MATCH($A18,'PERIOD 3'!$A$18:$A$18,0),MATCH(V$1,'PERIOD 3'!$L$3:$N$3,0))</f>
        <v>#N/A</v>
      </c>
      <c r="W18" s="107" t="e">
        <f ca="1">OFFSET('PERIOD 3'!$K$17,MATCH($A18,'PERIOD 3'!$A$18:$A$18,0),MATCH(W$1,'PERIOD 3'!$L$3:$N$3,0))</f>
        <v>#N/A</v>
      </c>
      <c r="X18" s="107" t="e">
        <f ca="1">OFFSET('PERIOD 3'!$K$17,MATCH($A18,'PERIOD 3'!$A$18:$A$18,0),MATCH(X$1,'PERIOD 3'!$L$3:$N$3,0))</f>
        <v>#N/A</v>
      </c>
      <c r="Y18" s="107" t="e">
        <f ca="1">OFFSET('PERIOD 3'!$K$17,MATCH($A18,'PERIOD 3'!$A$18:$A$18,0),MATCH(Y$1,'PERIOD 3'!$L$3:$N$3,0))</f>
        <v>#N/A</v>
      </c>
      <c r="Z18" s="107" t="e">
        <f ca="1">OFFSET('PERIOD 3'!$K$17,MATCH($A18,'PERIOD 3'!$A$18:$A$18,0),MATCH(Z$1,'PERIOD 3'!$L$3:$N$3,0))</f>
        <v>#N/A</v>
      </c>
      <c r="AA18" s="107" t="e">
        <f ca="1">OFFSET('PERIOD 3'!$K$17,MATCH($A18,'PERIOD 3'!$A$18:$A$18,0),MATCH(AA$1,'PERIOD 3'!$L$3:$N$3,0))</f>
        <v>#N/A</v>
      </c>
      <c r="AB18" s="107" t="e">
        <f ca="1">OFFSET('PERIOD 3'!$K$17,MATCH($A18,'PERIOD 3'!$A$18:$A$18,0),MATCH(AB$1,'PERIOD 3'!$L$3:$N$3,0))</f>
        <v>#N/A</v>
      </c>
      <c r="AC18" s="107" t="e">
        <f ca="1">OFFSET('PERIOD 3'!$K$17,MATCH($A18,'PERIOD 3'!$A$18:$A$18,0),MATCH(AC$1,'PERIOD 3'!$L$3:$N$3,0))</f>
        <v>#N/A</v>
      </c>
      <c r="AD18" s="107" t="e">
        <f ca="1">OFFSET('PERIOD 3'!$K$17,MATCH($A18,'PERIOD 3'!$A$18:$A$18,0),MATCH(AD$1,'PERIOD 3'!$L$3:$N$3,0))</f>
        <v>#N/A</v>
      </c>
      <c r="AE18" s="107" t="e">
        <f ca="1">OFFSET('PERIOD 3'!$K$17,MATCH($A18,'PERIOD 3'!$A$18:$A$18,0),MATCH(AE$1,'PERIOD 3'!$L$3:$N$3,0))</f>
        <v>#N/A</v>
      </c>
      <c r="AF18" s="107" t="e">
        <f ca="1">OFFSET('PERIOD 3'!$K$17,MATCH($A18,'PERIOD 3'!$A$18:$A$18,0),MATCH(AF$1,'PERIOD 3'!$L$3:$N$3,0))</f>
        <v>#N/A</v>
      </c>
      <c r="AG18" s="107" t="e">
        <f ca="1">OFFSET('PERIOD 3'!$K$17,MATCH($A18,'PERIOD 3'!$A$18:$A$18,0),MATCH(AG$1,'PERIOD 3'!$L$3:$N$3,0))</f>
        <v>#N/A</v>
      </c>
      <c r="AH18" s="107" t="e">
        <f ca="1">OFFSET('PERIOD 3'!$K$17,MATCH($A18,'PERIOD 3'!$A$18:$A$18,0),MATCH(AH$1,'PERIOD 3'!$L$3:$N$3,0))</f>
        <v>#N/A</v>
      </c>
      <c r="AI18" s="107" t="e">
        <f ca="1">OFFSET('PERIOD 3'!$K$17,MATCH($A18,'PERIOD 3'!$A$18:$A$18,0),MATCH(AI$1,'PERIOD 3'!$L$3:$N$3,0))</f>
        <v>#N/A</v>
      </c>
      <c r="AJ18" s="107" t="e">
        <f ca="1">OFFSET('PERIOD 3'!$K$17,MATCH($A18,'PERIOD 3'!$A$18:$A$18,0),MATCH(AJ$1,'PERIOD 3'!$L$3:$N$3,0))</f>
        <v>#N/A</v>
      </c>
      <c r="AK18" s="107" t="e">
        <f ca="1">OFFSET('PERIOD 3'!$K$17,MATCH($A18,'PERIOD 3'!$A$18:$A$18,0),MATCH(AK$1,'PERIOD 3'!$L$3:$N$3,0))</f>
        <v>#N/A</v>
      </c>
      <c r="AL18" s="107" t="e">
        <f ca="1">OFFSET('PERIOD 3'!$K$17,MATCH($A18,'PERIOD 3'!$A$18:$A$18,0),MATCH(AL$1,'PERIOD 3'!$L$3:$N$3,0))</f>
        <v>#N/A</v>
      </c>
      <c r="AM18" s="107" t="e">
        <f ca="1">OFFSET('PERIOD 3'!$K$17,MATCH($A18,'PERIOD 3'!$A$18:$A$18,0),MATCH(AM$1,'PERIOD 3'!$L$3:$N$3,0))</f>
        <v>#N/A</v>
      </c>
      <c r="AN18" s="107" t="e">
        <f ca="1">OFFSET('PERIOD 3'!$K$17,MATCH($A18,'PERIOD 3'!$A$18:$A$18,0),MATCH(AN$1,'PERIOD 3'!$L$3:$N$3,0))</f>
        <v>#N/A</v>
      </c>
      <c r="AO18" s="107" t="e">
        <f ca="1">OFFSET('PERIOD 3'!$K$17,MATCH($A18,'PERIOD 3'!$A$18:$A$18,0),MATCH(AO$1,'PERIOD 3'!$L$3:$N$3,0))</f>
        <v>#N/A</v>
      </c>
      <c r="AP18" s="107" t="e">
        <f ca="1">OFFSET('PERIOD 3'!$K$17,MATCH($A18,'PERIOD 3'!$A$18:$A$18,0),MATCH(AP$1,'PERIOD 3'!$L$3:$N$3,0))</f>
        <v>#N/A</v>
      </c>
      <c r="AQ18" s="107" t="e">
        <f ca="1">OFFSET('PERIOD 3'!$K$17,MATCH($A18,'PERIOD 3'!$A$18:$A$18,0),MATCH(AQ$1,'PERIOD 3'!$L$3:$N$3,0))</f>
        <v>#N/A</v>
      </c>
      <c r="AR18" s="107" t="e">
        <f ca="1">OFFSET('PERIOD 3'!$K$17,MATCH($A18,'PERIOD 3'!$A$18:$A$18,0),MATCH(AR$1,'PERIOD 3'!$L$3:$N$3,0))</f>
        <v>#N/A</v>
      </c>
      <c r="AS18" s="107" t="e">
        <f ca="1">OFFSET('PERIOD 3'!$K$17,MATCH($A18,'PERIOD 3'!$A$18:$A$18,0),MATCH(AS$1,'PERIOD 3'!$L$3:$N$3,0))</f>
        <v>#N/A</v>
      </c>
      <c r="AT18" s="107" t="e">
        <f ca="1">OFFSET('PERIOD 3'!$K$17,MATCH($A18,'PERIOD 3'!$A$18:$A$18,0),MATCH(AT$1,'PERIOD 3'!$L$3:$N$3,0))</f>
        <v>#N/A</v>
      </c>
      <c r="AU18" s="107" t="e">
        <f ca="1">OFFSET('PERIOD 3'!$K$17,MATCH($A18,'PERIOD 3'!$A$18:$A$18,0),MATCH(AU$1,'PERIOD 3'!$L$3:$N$3,0))</f>
        <v>#N/A</v>
      </c>
      <c r="AV18" s="107" t="e">
        <f ca="1">OFFSET('PERIOD 3'!$K$17,MATCH($A18,'PERIOD 3'!$A$18:$A$18,0),MATCH(AV$1,'PERIOD 3'!$L$3:$N$3,0))</f>
        <v>#N/A</v>
      </c>
      <c r="AW18" s="107" t="e">
        <f ca="1">OFFSET('PERIOD 3'!$K$17,MATCH($A18,'PERIOD 3'!$A$18:$A$18,0),MATCH(AW$1,'PERIOD 3'!$L$3:$N$3,0))</f>
        <v>#N/A</v>
      </c>
      <c r="AX18" s="107" t="e">
        <f ca="1">OFFSET('PERIOD 3'!$K$17,MATCH($A18,'PERIOD 3'!$A$18:$A$18,0),MATCH(AX$1,'PERIOD 3'!$L$3:$N$3,0))</f>
        <v>#N/A</v>
      </c>
    </row>
    <row r="19" spans="1:50" ht="10.199999999999999" outlineLevel="1" x14ac:dyDescent="0.2">
      <c r="A19" s="34" t="s">
        <v>54</v>
      </c>
      <c r="C19" s="107" t="e">
        <f ca="1">OFFSET('PERIOD 3'!$K$17,MATCH($A19,'PERIOD 3'!$A$18:$A$18,0),MATCH(C$1,'PERIOD 3'!$L$3:$N$3,0))</f>
        <v>#N/A</v>
      </c>
      <c r="D19" s="107" t="e">
        <f ca="1">OFFSET('PERIOD 3'!$K$17,MATCH($A19,'PERIOD 3'!$A$18:$A$18,0),MATCH(D$1,'PERIOD 3'!$L$3:$N$3,0))</f>
        <v>#N/A</v>
      </c>
      <c r="E19" s="107" t="e">
        <f ca="1">OFFSET('PERIOD 3'!$K$17,MATCH($A19,'PERIOD 3'!$A$18:$A$18,0),MATCH(E$1,'PERIOD 3'!$L$3:$N$3,0))</f>
        <v>#N/A</v>
      </c>
      <c r="F19" s="107" t="e">
        <f ca="1">OFFSET('PERIOD 3'!$K$17,MATCH($A19,'PERIOD 3'!$A$18:$A$18,0),MATCH(F$1,'PERIOD 3'!$L$3:$N$3,0))</f>
        <v>#N/A</v>
      </c>
      <c r="G19" s="107" t="e">
        <f ca="1">OFFSET('PERIOD 3'!$K$17,MATCH($A19,'PERIOD 3'!$A$18:$A$18,0),MATCH(G$1,'PERIOD 3'!$L$3:$N$3,0))</f>
        <v>#N/A</v>
      </c>
      <c r="H19" s="107" t="e">
        <f ca="1">OFFSET('PERIOD 3'!$K$17,MATCH($A19,'PERIOD 3'!$A$18:$A$18,0),MATCH(H$1,'PERIOD 3'!$L$3:$N$3,0))</f>
        <v>#N/A</v>
      </c>
      <c r="I19" s="107" t="e">
        <f ca="1">OFFSET('PERIOD 3'!$K$17,MATCH($A19,'PERIOD 3'!$A$18:$A$18,0),MATCH(I$1,'PERIOD 3'!$L$3:$N$3,0))</f>
        <v>#N/A</v>
      </c>
      <c r="J19" s="107" t="e">
        <f ca="1">OFFSET('PERIOD 3'!$K$17,MATCH($A19,'PERIOD 3'!$A$18:$A$18,0),MATCH(J$1,'PERIOD 3'!$L$3:$N$3,0))</f>
        <v>#N/A</v>
      </c>
      <c r="K19" s="107" t="e">
        <f ca="1">OFFSET('PERIOD 3'!$K$17,MATCH($A19,'PERIOD 3'!$A$18:$A$18,0),MATCH(K$1,'PERIOD 3'!$L$3:$N$3,0))</f>
        <v>#N/A</v>
      </c>
      <c r="L19" s="107" t="e">
        <f ca="1">OFFSET('PERIOD 3'!$K$17,MATCH($A19,'PERIOD 3'!$A$18:$A$18,0),MATCH(L$1,'PERIOD 3'!$L$3:$N$3,0))</f>
        <v>#N/A</v>
      </c>
      <c r="M19" s="107" t="e">
        <f ca="1">OFFSET('PERIOD 3'!$K$17,MATCH($A19,'PERIOD 3'!$A$18:$A$18,0),MATCH(M$1,'PERIOD 3'!$L$3:$N$3,0))</f>
        <v>#N/A</v>
      </c>
      <c r="N19" s="107" t="e">
        <f ca="1">OFFSET('PERIOD 3'!$K$17,MATCH($A19,'PERIOD 3'!$A$18:$A$18,0),MATCH(N$1,'PERIOD 3'!$L$3:$N$3,0))</f>
        <v>#N/A</v>
      </c>
      <c r="O19" s="107" t="e">
        <f ca="1">OFFSET('PERIOD 3'!$K$17,MATCH($A19,'PERIOD 3'!$A$18:$A$18,0),MATCH(O$1,'PERIOD 3'!$L$3:$N$3,0))</f>
        <v>#N/A</v>
      </c>
      <c r="P19" s="107" t="e">
        <f ca="1">OFFSET('PERIOD 3'!$K$17,MATCH($A19,'PERIOD 3'!$A$18:$A$18,0),MATCH(P$1,'PERIOD 3'!$L$3:$N$3,0))</f>
        <v>#N/A</v>
      </c>
      <c r="Q19" s="107" t="e">
        <f ca="1">OFFSET('PERIOD 3'!$K$17,MATCH($A19,'PERIOD 3'!$A$18:$A$18,0),MATCH(Q$1,'PERIOD 3'!$L$3:$N$3,0))</f>
        <v>#N/A</v>
      </c>
      <c r="R19" s="107" t="e">
        <f ca="1">OFFSET('PERIOD 3'!$K$17,MATCH($A19,'PERIOD 3'!$A$18:$A$18,0),MATCH(R$1,'PERIOD 3'!$L$3:$N$3,0))</f>
        <v>#N/A</v>
      </c>
      <c r="S19" s="107" t="e">
        <f ca="1">OFFSET('PERIOD 3'!$K$17,MATCH($A19,'PERIOD 3'!$A$18:$A$18,0),MATCH(S$1,'PERIOD 3'!$L$3:$N$3,0))</f>
        <v>#N/A</v>
      </c>
      <c r="T19" s="107" t="e">
        <f ca="1">OFFSET('PERIOD 3'!$K$17,MATCH($A19,'PERIOD 3'!$A$18:$A$18,0),MATCH(T$1,'PERIOD 3'!$L$3:$N$3,0))</f>
        <v>#N/A</v>
      </c>
      <c r="U19" s="107" t="e">
        <f ca="1">OFFSET('PERIOD 3'!$K$17,MATCH($A19,'PERIOD 3'!$A$18:$A$18,0),MATCH(U$1,'PERIOD 3'!$L$3:$N$3,0))</f>
        <v>#N/A</v>
      </c>
      <c r="V19" s="107" t="e">
        <f ca="1">OFFSET('PERIOD 3'!$K$17,MATCH($A19,'PERIOD 3'!$A$18:$A$18,0),MATCH(V$1,'PERIOD 3'!$L$3:$N$3,0))</f>
        <v>#N/A</v>
      </c>
      <c r="W19" s="107" t="e">
        <f ca="1">OFFSET('PERIOD 3'!$K$17,MATCH($A19,'PERIOD 3'!$A$18:$A$18,0),MATCH(W$1,'PERIOD 3'!$L$3:$N$3,0))</f>
        <v>#N/A</v>
      </c>
      <c r="X19" s="107" t="e">
        <f ca="1">OFFSET('PERIOD 3'!$K$17,MATCH($A19,'PERIOD 3'!$A$18:$A$18,0),MATCH(X$1,'PERIOD 3'!$L$3:$N$3,0))</f>
        <v>#N/A</v>
      </c>
      <c r="Y19" s="107" t="e">
        <f ca="1">OFFSET('PERIOD 3'!$K$17,MATCH($A19,'PERIOD 3'!$A$18:$A$18,0),MATCH(Y$1,'PERIOD 3'!$L$3:$N$3,0))</f>
        <v>#N/A</v>
      </c>
      <c r="Z19" s="107" t="e">
        <f ca="1">OFFSET('PERIOD 3'!$K$17,MATCH($A19,'PERIOD 3'!$A$18:$A$18,0),MATCH(Z$1,'PERIOD 3'!$L$3:$N$3,0))</f>
        <v>#N/A</v>
      </c>
      <c r="AA19" s="107" t="e">
        <f ca="1">OFFSET('PERIOD 3'!$K$17,MATCH($A19,'PERIOD 3'!$A$18:$A$18,0),MATCH(AA$1,'PERIOD 3'!$L$3:$N$3,0))</f>
        <v>#N/A</v>
      </c>
      <c r="AB19" s="107" t="e">
        <f ca="1">OFFSET('PERIOD 3'!$K$17,MATCH($A19,'PERIOD 3'!$A$18:$A$18,0),MATCH(AB$1,'PERIOD 3'!$L$3:$N$3,0))</f>
        <v>#N/A</v>
      </c>
      <c r="AC19" s="107" t="e">
        <f ca="1">OFFSET('PERIOD 3'!$K$17,MATCH($A19,'PERIOD 3'!$A$18:$A$18,0),MATCH(AC$1,'PERIOD 3'!$L$3:$N$3,0))</f>
        <v>#N/A</v>
      </c>
      <c r="AD19" s="107" t="e">
        <f ca="1">OFFSET('PERIOD 3'!$K$17,MATCH($A19,'PERIOD 3'!$A$18:$A$18,0),MATCH(AD$1,'PERIOD 3'!$L$3:$N$3,0))</f>
        <v>#N/A</v>
      </c>
      <c r="AE19" s="107" t="e">
        <f ca="1">OFFSET('PERIOD 3'!$K$17,MATCH($A19,'PERIOD 3'!$A$18:$A$18,0),MATCH(AE$1,'PERIOD 3'!$L$3:$N$3,0))</f>
        <v>#N/A</v>
      </c>
      <c r="AF19" s="107" t="e">
        <f ca="1">OFFSET('PERIOD 3'!$K$17,MATCH($A19,'PERIOD 3'!$A$18:$A$18,0),MATCH(AF$1,'PERIOD 3'!$L$3:$N$3,0))</f>
        <v>#N/A</v>
      </c>
      <c r="AG19" s="107" t="e">
        <f ca="1">OFFSET('PERIOD 3'!$K$17,MATCH($A19,'PERIOD 3'!$A$18:$A$18,0),MATCH(AG$1,'PERIOD 3'!$L$3:$N$3,0))</f>
        <v>#N/A</v>
      </c>
      <c r="AH19" s="107" t="e">
        <f ca="1">OFFSET('PERIOD 3'!$K$17,MATCH($A19,'PERIOD 3'!$A$18:$A$18,0),MATCH(AH$1,'PERIOD 3'!$L$3:$N$3,0))</f>
        <v>#N/A</v>
      </c>
      <c r="AI19" s="107" t="e">
        <f ca="1">OFFSET('PERIOD 3'!$K$17,MATCH($A19,'PERIOD 3'!$A$18:$A$18,0),MATCH(AI$1,'PERIOD 3'!$L$3:$N$3,0))</f>
        <v>#N/A</v>
      </c>
      <c r="AJ19" s="107" t="e">
        <f ca="1">OFFSET('PERIOD 3'!$K$17,MATCH($A19,'PERIOD 3'!$A$18:$A$18,0),MATCH(AJ$1,'PERIOD 3'!$L$3:$N$3,0))</f>
        <v>#N/A</v>
      </c>
      <c r="AK19" s="107" t="e">
        <f ca="1">OFFSET('PERIOD 3'!$K$17,MATCH($A19,'PERIOD 3'!$A$18:$A$18,0),MATCH(AK$1,'PERIOD 3'!$L$3:$N$3,0))</f>
        <v>#N/A</v>
      </c>
      <c r="AL19" s="107" t="e">
        <f ca="1">OFFSET('PERIOD 3'!$K$17,MATCH($A19,'PERIOD 3'!$A$18:$A$18,0),MATCH(AL$1,'PERIOD 3'!$L$3:$N$3,0))</f>
        <v>#N/A</v>
      </c>
      <c r="AM19" s="107" t="e">
        <f ca="1">OFFSET('PERIOD 3'!$K$17,MATCH($A19,'PERIOD 3'!$A$18:$A$18,0),MATCH(AM$1,'PERIOD 3'!$L$3:$N$3,0))</f>
        <v>#N/A</v>
      </c>
      <c r="AN19" s="107" t="e">
        <f ca="1">OFFSET('PERIOD 3'!$K$17,MATCH($A19,'PERIOD 3'!$A$18:$A$18,0),MATCH(AN$1,'PERIOD 3'!$L$3:$N$3,0))</f>
        <v>#N/A</v>
      </c>
      <c r="AO19" s="107" t="e">
        <f ca="1">OFFSET('PERIOD 3'!$K$17,MATCH($A19,'PERIOD 3'!$A$18:$A$18,0),MATCH(AO$1,'PERIOD 3'!$L$3:$N$3,0))</f>
        <v>#N/A</v>
      </c>
      <c r="AP19" s="107" t="e">
        <f ca="1">OFFSET('PERIOD 3'!$K$17,MATCH($A19,'PERIOD 3'!$A$18:$A$18,0),MATCH(AP$1,'PERIOD 3'!$L$3:$N$3,0))</f>
        <v>#N/A</v>
      </c>
      <c r="AQ19" s="107" t="e">
        <f ca="1">OFFSET('PERIOD 3'!$K$17,MATCH($A19,'PERIOD 3'!$A$18:$A$18,0),MATCH(AQ$1,'PERIOD 3'!$L$3:$N$3,0))</f>
        <v>#N/A</v>
      </c>
      <c r="AR19" s="107" t="e">
        <f ca="1">OFFSET('PERIOD 3'!$K$17,MATCH($A19,'PERIOD 3'!$A$18:$A$18,0),MATCH(AR$1,'PERIOD 3'!$L$3:$N$3,0))</f>
        <v>#N/A</v>
      </c>
      <c r="AS19" s="107" t="e">
        <f ca="1">OFFSET('PERIOD 3'!$K$17,MATCH($A19,'PERIOD 3'!$A$18:$A$18,0),MATCH(AS$1,'PERIOD 3'!$L$3:$N$3,0))</f>
        <v>#N/A</v>
      </c>
      <c r="AT19" s="107" t="e">
        <f ca="1">OFFSET('PERIOD 3'!$K$17,MATCH($A19,'PERIOD 3'!$A$18:$A$18,0),MATCH(AT$1,'PERIOD 3'!$L$3:$N$3,0))</f>
        <v>#N/A</v>
      </c>
      <c r="AU19" s="107" t="e">
        <f ca="1">OFFSET('PERIOD 3'!$K$17,MATCH($A19,'PERIOD 3'!$A$18:$A$18,0),MATCH(AU$1,'PERIOD 3'!$L$3:$N$3,0))</f>
        <v>#N/A</v>
      </c>
      <c r="AV19" s="107" t="e">
        <f ca="1">OFFSET('PERIOD 3'!$K$17,MATCH($A19,'PERIOD 3'!$A$18:$A$18,0),MATCH(AV$1,'PERIOD 3'!$L$3:$N$3,0))</f>
        <v>#N/A</v>
      </c>
      <c r="AW19" s="107" t="e">
        <f ca="1">OFFSET('PERIOD 3'!$K$17,MATCH($A19,'PERIOD 3'!$A$18:$A$18,0),MATCH(AW$1,'PERIOD 3'!$L$3:$N$3,0))</f>
        <v>#N/A</v>
      </c>
      <c r="AX19" s="107" t="e">
        <f ca="1">OFFSET('PERIOD 3'!$K$17,MATCH($A19,'PERIOD 3'!$A$18:$A$18,0),MATCH(AX$1,'PERIOD 3'!$L$3:$N$3,0))</f>
        <v>#N/A</v>
      </c>
    </row>
    <row r="20" spans="1:50" ht="10.199999999999999" outlineLevel="1" x14ac:dyDescent="0.2">
      <c r="A20" s="34" t="s">
        <v>36</v>
      </c>
      <c r="C20" s="107" t="e">
        <f ca="1">OFFSET('PERIOD 3'!$K$17,MATCH($A20,'PERIOD 3'!$A$18:$A$18,0),MATCH(C$1,'PERIOD 3'!$L$3:$N$3,0))</f>
        <v>#N/A</v>
      </c>
      <c r="D20" s="107" t="e">
        <f ca="1">OFFSET('PERIOD 3'!$K$17,MATCH($A20,'PERIOD 3'!$A$18:$A$18,0),MATCH(D$1,'PERIOD 3'!$L$3:$N$3,0))</f>
        <v>#N/A</v>
      </c>
      <c r="E20" s="107" t="e">
        <f ca="1">OFFSET('PERIOD 3'!$K$17,MATCH($A20,'PERIOD 3'!$A$18:$A$18,0),MATCH(E$1,'PERIOD 3'!$L$3:$N$3,0))</f>
        <v>#N/A</v>
      </c>
      <c r="F20" s="107" t="e">
        <f ca="1">OFFSET('PERIOD 3'!$K$17,MATCH($A20,'PERIOD 3'!$A$18:$A$18,0),MATCH(F$1,'PERIOD 3'!$L$3:$N$3,0))</f>
        <v>#N/A</v>
      </c>
      <c r="G20" s="107" t="e">
        <f ca="1">OFFSET('PERIOD 3'!$K$17,MATCH($A20,'PERIOD 3'!$A$18:$A$18,0),MATCH(G$1,'PERIOD 3'!$L$3:$N$3,0))</f>
        <v>#N/A</v>
      </c>
      <c r="H20" s="107" t="e">
        <f ca="1">OFFSET('PERIOD 3'!$K$17,MATCH($A20,'PERIOD 3'!$A$18:$A$18,0),MATCH(H$1,'PERIOD 3'!$L$3:$N$3,0))</f>
        <v>#N/A</v>
      </c>
      <c r="I20" s="107" t="e">
        <f ca="1">OFFSET('PERIOD 3'!$K$17,MATCH($A20,'PERIOD 3'!$A$18:$A$18,0),MATCH(I$1,'PERIOD 3'!$L$3:$N$3,0))</f>
        <v>#N/A</v>
      </c>
      <c r="J20" s="107" t="e">
        <f ca="1">OFFSET('PERIOD 3'!$K$17,MATCH($A20,'PERIOD 3'!$A$18:$A$18,0),MATCH(J$1,'PERIOD 3'!$L$3:$N$3,0))</f>
        <v>#N/A</v>
      </c>
      <c r="K20" s="107" t="e">
        <f ca="1">OFFSET('PERIOD 3'!$K$17,MATCH($A20,'PERIOD 3'!$A$18:$A$18,0),MATCH(K$1,'PERIOD 3'!$L$3:$N$3,0))</f>
        <v>#N/A</v>
      </c>
      <c r="L20" s="107" t="e">
        <f ca="1">OFFSET('PERIOD 3'!$K$17,MATCH($A20,'PERIOD 3'!$A$18:$A$18,0),MATCH(L$1,'PERIOD 3'!$L$3:$N$3,0))</f>
        <v>#N/A</v>
      </c>
      <c r="M20" s="107" t="e">
        <f ca="1">OFFSET('PERIOD 3'!$K$17,MATCH($A20,'PERIOD 3'!$A$18:$A$18,0),MATCH(M$1,'PERIOD 3'!$L$3:$N$3,0))</f>
        <v>#N/A</v>
      </c>
      <c r="N20" s="107" t="e">
        <f ca="1">OFFSET('PERIOD 3'!$K$17,MATCH($A20,'PERIOD 3'!$A$18:$A$18,0),MATCH(N$1,'PERIOD 3'!$L$3:$N$3,0))</f>
        <v>#N/A</v>
      </c>
      <c r="O20" s="107" t="e">
        <f ca="1">OFFSET('PERIOD 3'!$K$17,MATCH($A20,'PERIOD 3'!$A$18:$A$18,0),MATCH(O$1,'PERIOD 3'!$L$3:$N$3,0))</f>
        <v>#N/A</v>
      </c>
      <c r="P20" s="107" t="e">
        <f ca="1">OFFSET('PERIOD 3'!$K$17,MATCH($A20,'PERIOD 3'!$A$18:$A$18,0),MATCH(P$1,'PERIOD 3'!$L$3:$N$3,0))</f>
        <v>#N/A</v>
      </c>
      <c r="Q20" s="107" t="e">
        <f ca="1">OFFSET('PERIOD 3'!$K$17,MATCH($A20,'PERIOD 3'!$A$18:$A$18,0),MATCH(Q$1,'PERIOD 3'!$L$3:$N$3,0))</f>
        <v>#N/A</v>
      </c>
      <c r="R20" s="107" t="e">
        <f ca="1">OFFSET('PERIOD 3'!$K$17,MATCH($A20,'PERIOD 3'!$A$18:$A$18,0),MATCH(R$1,'PERIOD 3'!$L$3:$N$3,0))</f>
        <v>#N/A</v>
      </c>
      <c r="S20" s="107" t="e">
        <f ca="1">OFFSET('PERIOD 3'!$K$17,MATCH($A20,'PERIOD 3'!$A$18:$A$18,0),MATCH(S$1,'PERIOD 3'!$L$3:$N$3,0))</f>
        <v>#N/A</v>
      </c>
      <c r="T20" s="107" t="e">
        <f ca="1">OFFSET('PERIOD 3'!$K$17,MATCH($A20,'PERIOD 3'!$A$18:$A$18,0),MATCH(T$1,'PERIOD 3'!$L$3:$N$3,0))</f>
        <v>#N/A</v>
      </c>
      <c r="U20" s="107" t="e">
        <f ca="1">OFFSET('PERIOD 3'!$K$17,MATCH($A20,'PERIOD 3'!$A$18:$A$18,0),MATCH(U$1,'PERIOD 3'!$L$3:$N$3,0))</f>
        <v>#N/A</v>
      </c>
      <c r="V20" s="107" t="e">
        <f ca="1">OFFSET('PERIOD 3'!$K$17,MATCH($A20,'PERIOD 3'!$A$18:$A$18,0),MATCH(V$1,'PERIOD 3'!$L$3:$N$3,0))</f>
        <v>#N/A</v>
      </c>
      <c r="W20" s="107" t="e">
        <f ca="1">OFFSET('PERIOD 3'!$K$17,MATCH($A20,'PERIOD 3'!$A$18:$A$18,0),MATCH(W$1,'PERIOD 3'!$L$3:$N$3,0))</f>
        <v>#N/A</v>
      </c>
      <c r="X20" s="107" t="e">
        <f ca="1">OFFSET('PERIOD 3'!$K$17,MATCH($A20,'PERIOD 3'!$A$18:$A$18,0),MATCH(X$1,'PERIOD 3'!$L$3:$N$3,0))</f>
        <v>#N/A</v>
      </c>
      <c r="Y20" s="107" t="e">
        <f ca="1">OFFSET('PERIOD 3'!$K$17,MATCH($A20,'PERIOD 3'!$A$18:$A$18,0),MATCH(Y$1,'PERIOD 3'!$L$3:$N$3,0))</f>
        <v>#N/A</v>
      </c>
      <c r="Z20" s="107" t="e">
        <f ca="1">OFFSET('PERIOD 3'!$K$17,MATCH($A20,'PERIOD 3'!$A$18:$A$18,0),MATCH(Z$1,'PERIOD 3'!$L$3:$N$3,0))</f>
        <v>#N/A</v>
      </c>
      <c r="AA20" s="107" t="e">
        <f ca="1">OFFSET('PERIOD 3'!$K$17,MATCH($A20,'PERIOD 3'!$A$18:$A$18,0),MATCH(AA$1,'PERIOD 3'!$L$3:$N$3,0))</f>
        <v>#N/A</v>
      </c>
      <c r="AB20" s="107" t="e">
        <f ca="1">OFFSET('PERIOD 3'!$K$17,MATCH($A20,'PERIOD 3'!$A$18:$A$18,0),MATCH(AB$1,'PERIOD 3'!$L$3:$N$3,0))</f>
        <v>#N/A</v>
      </c>
      <c r="AC20" s="107" t="e">
        <f ca="1">OFFSET('PERIOD 3'!$K$17,MATCH($A20,'PERIOD 3'!$A$18:$A$18,0),MATCH(AC$1,'PERIOD 3'!$L$3:$N$3,0))</f>
        <v>#N/A</v>
      </c>
      <c r="AD20" s="107" t="e">
        <f ca="1">OFFSET('PERIOD 3'!$K$17,MATCH($A20,'PERIOD 3'!$A$18:$A$18,0),MATCH(AD$1,'PERIOD 3'!$L$3:$N$3,0))</f>
        <v>#N/A</v>
      </c>
      <c r="AE20" s="107" t="e">
        <f ca="1">OFFSET('PERIOD 3'!$K$17,MATCH($A20,'PERIOD 3'!$A$18:$A$18,0),MATCH(AE$1,'PERIOD 3'!$L$3:$N$3,0))</f>
        <v>#N/A</v>
      </c>
      <c r="AF20" s="107" t="e">
        <f ca="1">OFFSET('PERIOD 3'!$K$17,MATCH($A20,'PERIOD 3'!$A$18:$A$18,0),MATCH(AF$1,'PERIOD 3'!$L$3:$N$3,0))</f>
        <v>#N/A</v>
      </c>
      <c r="AG20" s="107" t="e">
        <f ca="1">OFFSET('PERIOD 3'!$K$17,MATCH($A20,'PERIOD 3'!$A$18:$A$18,0),MATCH(AG$1,'PERIOD 3'!$L$3:$N$3,0))</f>
        <v>#N/A</v>
      </c>
      <c r="AH20" s="107" t="e">
        <f ca="1">OFFSET('PERIOD 3'!$K$17,MATCH($A20,'PERIOD 3'!$A$18:$A$18,0),MATCH(AH$1,'PERIOD 3'!$L$3:$N$3,0))</f>
        <v>#N/A</v>
      </c>
      <c r="AI20" s="107" t="e">
        <f ca="1">OFFSET('PERIOD 3'!$K$17,MATCH($A20,'PERIOD 3'!$A$18:$A$18,0),MATCH(AI$1,'PERIOD 3'!$L$3:$N$3,0))</f>
        <v>#N/A</v>
      </c>
      <c r="AJ20" s="107" t="e">
        <f ca="1">OFFSET('PERIOD 3'!$K$17,MATCH($A20,'PERIOD 3'!$A$18:$A$18,0),MATCH(AJ$1,'PERIOD 3'!$L$3:$N$3,0))</f>
        <v>#N/A</v>
      </c>
      <c r="AK20" s="107" t="e">
        <f ca="1">OFFSET('PERIOD 3'!$K$17,MATCH($A20,'PERIOD 3'!$A$18:$A$18,0),MATCH(AK$1,'PERIOD 3'!$L$3:$N$3,0))</f>
        <v>#N/A</v>
      </c>
      <c r="AL20" s="107" t="e">
        <f ca="1">OFFSET('PERIOD 3'!$K$17,MATCH($A20,'PERIOD 3'!$A$18:$A$18,0),MATCH(AL$1,'PERIOD 3'!$L$3:$N$3,0))</f>
        <v>#N/A</v>
      </c>
      <c r="AM20" s="107" t="e">
        <f ca="1">OFFSET('PERIOD 3'!$K$17,MATCH($A20,'PERIOD 3'!$A$18:$A$18,0),MATCH(AM$1,'PERIOD 3'!$L$3:$N$3,0))</f>
        <v>#N/A</v>
      </c>
      <c r="AN20" s="107" t="e">
        <f ca="1">OFFSET('PERIOD 3'!$K$17,MATCH($A20,'PERIOD 3'!$A$18:$A$18,0),MATCH(AN$1,'PERIOD 3'!$L$3:$N$3,0))</f>
        <v>#N/A</v>
      </c>
      <c r="AO20" s="107" t="e">
        <f ca="1">OFFSET('PERIOD 3'!$K$17,MATCH($A20,'PERIOD 3'!$A$18:$A$18,0),MATCH(AO$1,'PERIOD 3'!$L$3:$N$3,0))</f>
        <v>#N/A</v>
      </c>
      <c r="AP20" s="107" t="e">
        <f ca="1">OFFSET('PERIOD 3'!$K$17,MATCH($A20,'PERIOD 3'!$A$18:$A$18,0),MATCH(AP$1,'PERIOD 3'!$L$3:$N$3,0))</f>
        <v>#N/A</v>
      </c>
      <c r="AQ20" s="107" t="e">
        <f ca="1">OFFSET('PERIOD 3'!$K$17,MATCH($A20,'PERIOD 3'!$A$18:$A$18,0),MATCH(AQ$1,'PERIOD 3'!$L$3:$N$3,0))</f>
        <v>#N/A</v>
      </c>
      <c r="AR20" s="107" t="e">
        <f ca="1">OFFSET('PERIOD 3'!$K$17,MATCH($A20,'PERIOD 3'!$A$18:$A$18,0),MATCH(AR$1,'PERIOD 3'!$L$3:$N$3,0))</f>
        <v>#N/A</v>
      </c>
      <c r="AS20" s="107" t="e">
        <f ca="1">OFFSET('PERIOD 3'!$K$17,MATCH($A20,'PERIOD 3'!$A$18:$A$18,0),MATCH(AS$1,'PERIOD 3'!$L$3:$N$3,0))</f>
        <v>#N/A</v>
      </c>
      <c r="AT20" s="107" t="e">
        <f ca="1">OFFSET('PERIOD 3'!$K$17,MATCH($A20,'PERIOD 3'!$A$18:$A$18,0),MATCH(AT$1,'PERIOD 3'!$L$3:$N$3,0))</f>
        <v>#N/A</v>
      </c>
      <c r="AU20" s="107" t="e">
        <f ca="1">OFFSET('PERIOD 3'!$K$17,MATCH($A20,'PERIOD 3'!$A$18:$A$18,0),MATCH(AU$1,'PERIOD 3'!$L$3:$N$3,0))</f>
        <v>#N/A</v>
      </c>
      <c r="AV20" s="107" t="e">
        <f ca="1">OFFSET('PERIOD 3'!$K$17,MATCH($A20,'PERIOD 3'!$A$18:$A$18,0),MATCH(AV$1,'PERIOD 3'!$L$3:$N$3,0))</f>
        <v>#N/A</v>
      </c>
      <c r="AW20" s="107" t="e">
        <f ca="1">OFFSET('PERIOD 3'!$K$17,MATCH($A20,'PERIOD 3'!$A$18:$A$18,0),MATCH(AW$1,'PERIOD 3'!$L$3:$N$3,0))</f>
        <v>#N/A</v>
      </c>
      <c r="AX20" s="107" t="e">
        <f ca="1">OFFSET('PERIOD 3'!$K$17,MATCH($A20,'PERIOD 3'!$A$18:$A$18,0),MATCH(AX$1,'PERIOD 3'!$L$3:$N$3,0))</f>
        <v>#N/A</v>
      </c>
    </row>
    <row r="21" spans="1:50" ht="10.199999999999999" outlineLevel="1" x14ac:dyDescent="0.2">
      <c r="A21" s="38" t="s">
        <v>40</v>
      </c>
      <c r="B21" s="38"/>
      <c r="C21" s="40" t="e">
        <f t="shared" ref="C21:W21" ca="1" si="4">SUM(C18:C20)</f>
        <v>#N/A</v>
      </c>
      <c r="D21" s="40" t="e">
        <f t="shared" ca="1" si="4"/>
        <v>#N/A</v>
      </c>
      <c r="E21" s="40" t="e">
        <f t="shared" ca="1" si="4"/>
        <v>#N/A</v>
      </c>
      <c r="F21" s="40" t="e">
        <f t="shared" ca="1" si="4"/>
        <v>#N/A</v>
      </c>
      <c r="G21" s="40" t="e">
        <f t="shared" ca="1" si="4"/>
        <v>#N/A</v>
      </c>
      <c r="H21" s="40" t="e">
        <f t="shared" ca="1" si="4"/>
        <v>#N/A</v>
      </c>
      <c r="I21" s="40" t="e">
        <f t="shared" ca="1" si="4"/>
        <v>#N/A</v>
      </c>
      <c r="J21" s="40" t="e">
        <f t="shared" ca="1" si="4"/>
        <v>#N/A</v>
      </c>
      <c r="K21" s="40" t="e">
        <f t="shared" ca="1" si="4"/>
        <v>#N/A</v>
      </c>
      <c r="L21" s="40" t="e">
        <f ca="1">SUM(L18:L20)</f>
        <v>#N/A</v>
      </c>
      <c r="M21" s="40" t="e">
        <f t="shared" ca="1" si="4"/>
        <v>#N/A</v>
      </c>
      <c r="N21" s="40" t="e">
        <f t="shared" ca="1" si="4"/>
        <v>#N/A</v>
      </c>
      <c r="O21" s="40" t="e">
        <f t="shared" ca="1" si="4"/>
        <v>#N/A</v>
      </c>
      <c r="P21" s="40" t="e">
        <f t="shared" ca="1" si="4"/>
        <v>#N/A</v>
      </c>
      <c r="Q21" s="40" t="e">
        <f t="shared" ca="1" si="4"/>
        <v>#N/A</v>
      </c>
      <c r="R21" s="40" t="e">
        <f t="shared" ca="1" si="4"/>
        <v>#N/A</v>
      </c>
      <c r="S21" s="40" t="e">
        <f ca="1">SUM(S18:S20)</f>
        <v>#N/A</v>
      </c>
      <c r="T21" s="40" t="e">
        <f ca="1">SUM(T18:T20)</f>
        <v>#N/A</v>
      </c>
      <c r="U21" s="40" t="e">
        <f ca="1">SUM(U18:U20)</f>
        <v>#N/A</v>
      </c>
      <c r="V21" s="40" t="e">
        <f t="shared" ca="1" si="4"/>
        <v>#N/A</v>
      </c>
      <c r="W21" s="40" t="e">
        <f t="shared" ca="1" si="4"/>
        <v>#N/A</v>
      </c>
      <c r="X21" s="40" t="e">
        <f ca="1">SUM(X18:X20)</f>
        <v>#N/A</v>
      </c>
      <c r="Y21" s="40" t="e">
        <f t="shared" ref="Y21:AX21" ca="1" si="5">SUM(Y18:Y20)</f>
        <v>#N/A</v>
      </c>
      <c r="Z21" s="40" t="e">
        <f t="shared" ca="1" si="5"/>
        <v>#N/A</v>
      </c>
      <c r="AA21" s="40" t="e">
        <f t="shared" ca="1" si="5"/>
        <v>#N/A</v>
      </c>
      <c r="AB21" s="40" t="e">
        <f t="shared" ca="1" si="5"/>
        <v>#N/A</v>
      </c>
      <c r="AC21" s="40" t="e">
        <f t="shared" ca="1" si="5"/>
        <v>#N/A</v>
      </c>
      <c r="AD21" s="40" t="e">
        <f t="shared" ca="1" si="5"/>
        <v>#N/A</v>
      </c>
      <c r="AE21" s="40" t="e">
        <f t="shared" ca="1" si="5"/>
        <v>#N/A</v>
      </c>
      <c r="AF21" s="40" t="e">
        <f t="shared" ca="1" si="5"/>
        <v>#N/A</v>
      </c>
      <c r="AG21" s="40" t="e">
        <f t="shared" ca="1" si="5"/>
        <v>#N/A</v>
      </c>
      <c r="AH21" s="40" t="e">
        <f t="shared" ca="1" si="5"/>
        <v>#N/A</v>
      </c>
      <c r="AI21" s="40" t="e">
        <f t="shared" ca="1" si="5"/>
        <v>#N/A</v>
      </c>
      <c r="AJ21" s="40" t="e">
        <f t="shared" ca="1" si="5"/>
        <v>#N/A</v>
      </c>
      <c r="AK21" s="40" t="e">
        <f t="shared" ca="1" si="5"/>
        <v>#N/A</v>
      </c>
      <c r="AL21" s="40" t="e">
        <f t="shared" ca="1" si="5"/>
        <v>#N/A</v>
      </c>
      <c r="AM21" s="40" t="e">
        <f t="shared" ca="1" si="5"/>
        <v>#N/A</v>
      </c>
      <c r="AN21" s="40" t="e">
        <f t="shared" ca="1" si="5"/>
        <v>#N/A</v>
      </c>
      <c r="AO21" s="40" t="e">
        <f t="shared" ca="1" si="5"/>
        <v>#N/A</v>
      </c>
      <c r="AP21" s="40" t="e">
        <f t="shared" ca="1" si="5"/>
        <v>#N/A</v>
      </c>
      <c r="AQ21" s="40" t="e">
        <f t="shared" ca="1" si="5"/>
        <v>#N/A</v>
      </c>
      <c r="AR21" s="40" t="e">
        <f t="shared" ca="1" si="5"/>
        <v>#N/A</v>
      </c>
      <c r="AS21" s="40" t="e">
        <f t="shared" ca="1" si="5"/>
        <v>#N/A</v>
      </c>
      <c r="AT21" s="40" t="e">
        <f t="shared" ca="1" si="5"/>
        <v>#N/A</v>
      </c>
      <c r="AU21" s="40" t="e">
        <f t="shared" ca="1" si="5"/>
        <v>#N/A</v>
      </c>
      <c r="AV21" s="40" t="e">
        <f t="shared" ca="1" si="5"/>
        <v>#N/A</v>
      </c>
      <c r="AW21" s="40" t="e">
        <f t="shared" ca="1" si="5"/>
        <v>#N/A</v>
      </c>
      <c r="AX21" s="40" t="e">
        <f t="shared" ca="1" si="5"/>
        <v>#N/A</v>
      </c>
    </row>
    <row r="22" spans="1:50" ht="10.199999999999999" outlineLevel="1" x14ac:dyDescent="0.2">
      <c r="C22" s="39"/>
      <c r="D22" s="107"/>
      <c r="E22" s="39"/>
      <c r="F22" s="107"/>
      <c r="G22" s="107"/>
      <c r="H22" s="107"/>
      <c r="I22" s="107"/>
      <c r="J22" s="107"/>
      <c r="K22" s="107"/>
      <c r="L22" s="107"/>
      <c r="M22" s="39"/>
      <c r="N22" s="39"/>
      <c r="O22" s="39"/>
      <c r="P22" s="107"/>
      <c r="Q22" s="39"/>
      <c r="R22" s="107"/>
      <c r="S22" s="107"/>
      <c r="T22" s="107"/>
      <c r="U22" s="39"/>
      <c r="V22" s="107"/>
      <c r="W22" s="107"/>
      <c r="Y22" s="34"/>
    </row>
    <row r="23" spans="1:50" ht="10.199999999999999" outlineLevel="1" x14ac:dyDescent="0.2">
      <c r="A23" s="38" t="s">
        <v>44</v>
      </c>
      <c r="B23" s="38"/>
      <c r="C23" s="108"/>
      <c r="D23" s="107"/>
      <c r="E23" s="39"/>
      <c r="F23" s="107"/>
      <c r="G23" s="107"/>
      <c r="H23" s="107"/>
      <c r="I23" s="107"/>
      <c r="J23" s="107"/>
      <c r="K23" s="39"/>
      <c r="L23" s="107"/>
      <c r="M23" s="107"/>
      <c r="N23" s="39"/>
      <c r="O23" s="39"/>
      <c r="P23" s="39"/>
      <c r="Q23" s="107"/>
      <c r="R23" s="39"/>
      <c r="S23" s="107"/>
      <c r="T23" s="107"/>
      <c r="V23" s="107"/>
      <c r="W23" s="107"/>
      <c r="Y23" s="34"/>
    </row>
    <row r="24" spans="1:50" ht="10.199999999999999" outlineLevel="1" x14ac:dyDescent="0.2">
      <c r="A24" s="34" t="s">
        <v>10</v>
      </c>
      <c r="C24" s="107" t="e">
        <f ca="1">OFFSET('PERIOD 4'!$L$68,MATCH($A24,'PERIOD 4'!$B$69:$B$74,0),MATCH(C$1,'PERIOD 4'!$M$3:$N$3,0))</f>
        <v>#N/A</v>
      </c>
      <c r="D24" s="107" t="e">
        <f ca="1">OFFSET('PERIOD 4'!$L$68,MATCH($A24,'PERIOD 4'!$B$69:$B$74,0),MATCH(D$1,'PERIOD 4'!$M$3:$N$3,0))</f>
        <v>#N/A</v>
      </c>
      <c r="E24" s="107" t="e">
        <f ca="1">OFFSET('PERIOD 4'!$L$68,MATCH($A24,'PERIOD 4'!$B$69:$B$74,0),MATCH(E$1,'PERIOD 4'!$M$3:$N$3,0))</f>
        <v>#N/A</v>
      </c>
      <c r="F24" s="107" t="e">
        <f ca="1">OFFSET('PERIOD 4'!$L$68,MATCH($A24,'PERIOD 4'!$B$69:$B$74,0),MATCH(F$1,'PERIOD 4'!$M$3:$N$3,0))</f>
        <v>#N/A</v>
      </c>
      <c r="G24" s="107" t="e">
        <f ca="1">OFFSET('PERIOD 4'!$L$68,MATCH($A24,'PERIOD 4'!$B$69:$B$74,0),MATCH(G$1,'PERIOD 4'!$M$3:$N$3,0))</f>
        <v>#N/A</v>
      </c>
      <c r="H24" s="107" t="e">
        <f ca="1">OFFSET('PERIOD 4'!$L$68,MATCH($A24,'PERIOD 4'!$B$69:$B$74,0),MATCH(H$1,'PERIOD 4'!$M$3:$N$3,0))</f>
        <v>#N/A</v>
      </c>
      <c r="I24" s="107" t="e">
        <f ca="1">OFFSET('PERIOD 4'!$L$68,MATCH($A24,'PERIOD 4'!$B$69:$B$74,0),MATCH(I$1,'PERIOD 4'!$M$3:$N$3,0))</f>
        <v>#N/A</v>
      </c>
      <c r="J24" s="107" t="e">
        <f ca="1">OFFSET('PERIOD 4'!$L$68,MATCH($A24,'PERIOD 4'!$B$69:$B$74,0),MATCH(J$1,'PERIOD 4'!$M$3:$N$3,0))</f>
        <v>#N/A</v>
      </c>
      <c r="K24" s="107" t="e">
        <f ca="1">OFFSET('PERIOD 4'!$L$68,MATCH($A24,'PERIOD 4'!$B$69:$B$74,0),MATCH(K$1,'PERIOD 4'!$M$3:$N$3,0))</f>
        <v>#N/A</v>
      </c>
      <c r="L24" s="107" t="e">
        <f ca="1">OFFSET('PERIOD 4'!$L$68,MATCH($A24,'PERIOD 4'!$B$69:$B$74,0),MATCH(L$1,'PERIOD 4'!$M$3:$N$3,0))</f>
        <v>#N/A</v>
      </c>
      <c r="M24" s="107" t="e">
        <f ca="1">OFFSET('PERIOD 4'!$L$68,MATCH($A24,'PERIOD 4'!$B$69:$B$74,0),MATCH(M$1,'PERIOD 4'!$M$3:$N$3,0))</f>
        <v>#N/A</v>
      </c>
      <c r="N24" s="107" t="e">
        <f ca="1">OFFSET('PERIOD 4'!$L$68,MATCH($A24,'PERIOD 4'!$B$69:$B$74,0),MATCH(N$1,'PERIOD 4'!$M$3:$N$3,0))</f>
        <v>#N/A</v>
      </c>
      <c r="O24" s="107" t="e">
        <f ca="1">OFFSET('PERIOD 4'!$L$68,MATCH($A24,'PERIOD 4'!$B$69:$B$74,0),MATCH(O$1,'PERIOD 4'!$M$3:$N$3,0))</f>
        <v>#N/A</v>
      </c>
      <c r="P24" s="107" t="e">
        <f ca="1">OFFSET('PERIOD 4'!$L$68,MATCH($A24,'PERIOD 4'!$B$69:$B$74,0),MATCH(P$1,'PERIOD 4'!$M$3:$N$3,0))</f>
        <v>#N/A</v>
      </c>
      <c r="Q24" s="107" t="e">
        <f ca="1">OFFSET('PERIOD 4'!$L$68,MATCH($A24,'PERIOD 4'!$B$69:$B$74,0),MATCH(Q$1,'PERIOD 4'!$M$3:$N$3,0))</f>
        <v>#N/A</v>
      </c>
      <c r="R24" s="107" t="e">
        <f ca="1">OFFSET('PERIOD 4'!$L$68,MATCH($A24,'PERIOD 4'!$B$69:$B$74,0),MATCH(R$1,'PERIOD 4'!$M$3:$N$3,0))</f>
        <v>#N/A</v>
      </c>
      <c r="S24" s="107" t="e">
        <f ca="1">OFFSET('PERIOD 4'!$L$68,MATCH($A24,'PERIOD 4'!$B$69:$B$74,0),MATCH(S$1,'PERIOD 4'!$M$3:$N$3,0))</f>
        <v>#N/A</v>
      </c>
      <c r="T24" s="107" t="e">
        <f ca="1">OFFSET('PERIOD 4'!$L$68,MATCH($A24,'PERIOD 4'!$B$69:$B$74,0),MATCH(T$1,'PERIOD 4'!$M$3:$N$3,0))</f>
        <v>#N/A</v>
      </c>
      <c r="U24" s="107" t="e">
        <f ca="1">OFFSET('PERIOD 4'!$L$68,MATCH($A24,'PERIOD 4'!$B$69:$B$74,0),MATCH(U$1,'PERIOD 4'!$M$3:$N$3,0))</f>
        <v>#N/A</v>
      </c>
      <c r="V24" s="107" t="e">
        <f ca="1">OFFSET('PERIOD 4'!$L$68,MATCH($A24,'PERIOD 4'!$B$69:$B$74,0),MATCH(V$1,'PERIOD 4'!$M$3:$N$3,0))</f>
        <v>#N/A</v>
      </c>
      <c r="W24" s="107" t="e">
        <f ca="1">OFFSET('PERIOD 4'!$L$68,MATCH($A24,'PERIOD 4'!$B$69:$B$74,0),MATCH(W$1,'PERIOD 4'!$M$3:$N$3,0))</f>
        <v>#N/A</v>
      </c>
      <c r="X24" s="107" t="e">
        <f ca="1">OFFSET('PERIOD 4'!$L$68,MATCH($A24,'PERIOD 4'!$B$69:$B$74,0),MATCH(X$1,'PERIOD 4'!$M$3:$N$3,0))</f>
        <v>#N/A</v>
      </c>
      <c r="Y24" s="107" t="e">
        <f ca="1">OFFSET('PERIOD 4'!$L$68,MATCH($A24,'PERIOD 4'!$B$69:$B$74,0),MATCH(Y$1,'PERIOD 4'!$M$3:$N$3,0))</f>
        <v>#N/A</v>
      </c>
      <c r="Z24" s="107" t="e">
        <f ca="1">OFFSET('PERIOD 4'!$L$68,MATCH($A24,'PERIOD 4'!$B$69:$B$74,0),MATCH(Z$1,'PERIOD 4'!$M$3:$N$3,0))</f>
        <v>#N/A</v>
      </c>
      <c r="AA24" s="107" t="e">
        <f ca="1">OFFSET('PERIOD 4'!$L$68,MATCH($A24,'PERIOD 4'!$B$69:$B$74,0),MATCH(AA$1,'PERIOD 4'!$M$3:$N$3,0))</f>
        <v>#N/A</v>
      </c>
      <c r="AB24" s="107" t="e">
        <f ca="1">OFFSET('PERIOD 4'!$L$68,MATCH($A24,'PERIOD 4'!$B$69:$B$74,0),MATCH(AB$1,'PERIOD 4'!$M$3:$N$3,0))</f>
        <v>#N/A</v>
      </c>
      <c r="AC24" s="107" t="e">
        <f ca="1">OFFSET('PERIOD 4'!$L$68,MATCH($A24,'PERIOD 4'!$B$69:$B$74,0),MATCH(AC$1,'PERIOD 4'!$M$3:$N$3,0))</f>
        <v>#N/A</v>
      </c>
      <c r="AD24" s="107" t="e">
        <f ca="1">OFFSET('PERIOD 4'!$L$68,MATCH($A24,'PERIOD 4'!$B$69:$B$74,0),MATCH(AD$1,'PERIOD 4'!$M$3:$N$3,0))</f>
        <v>#N/A</v>
      </c>
      <c r="AE24" s="107" t="e">
        <f ca="1">OFFSET('PERIOD 4'!$L$68,MATCH($A24,'PERIOD 4'!$B$69:$B$74,0),MATCH(AE$1,'PERIOD 4'!$M$3:$N$3,0))</f>
        <v>#N/A</v>
      </c>
      <c r="AF24" s="107" t="e">
        <f ca="1">OFFSET('PERIOD 4'!$L$68,MATCH($A24,'PERIOD 4'!$B$69:$B$74,0),MATCH(AF$1,'PERIOD 4'!$M$3:$N$3,0))</f>
        <v>#N/A</v>
      </c>
      <c r="AG24" s="107" t="e">
        <f ca="1">OFFSET('PERIOD 4'!$L$68,MATCH($A24,'PERIOD 4'!$B$69:$B$74,0),MATCH(AG$1,'PERIOD 4'!$M$3:$N$3,0))</f>
        <v>#N/A</v>
      </c>
      <c r="AH24" s="107" t="e">
        <f ca="1">OFFSET('PERIOD 4'!$L$68,MATCH($A24,'PERIOD 4'!$B$69:$B$74,0),MATCH(AH$1,'PERIOD 4'!$M$3:$N$3,0))</f>
        <v>#N/A</v>
      </c>
      <c r="AI24" s="107" t="e">
        <f ca="1">OFFSET('PERIOD 4'!$L$68,MATCH($A24,'PERIOD 4'!$B$69:$B$74,0),MATCH(AI$1,'PERIOD 4'!$M$3:$N$3,0))</f>
        <v>#N/A</v>
      </c>
      <c r="AJ24" s="107" t="e">
        <f ca="1">OFFSET('PERIOD 4'!$L$68,MATCH($A24,'PERIOD 4'!$B$69:$B$74,0),MATCH(AJ$1,'PERIOD 4'!$M$3:$N$3,0))</f>
        <v>#N/A</v>
      </c>
      <c r="AK24" s="107" t="e">
        <f ca="1">OFFSET('PERIOD 4'!$L$68,MATCH($A24,'PERIOD 4'!$B$69:$B$74,0),MATCH(AK$1,'PERIOD 4'!$M$3:$N$3,0))</f>
        <v>#N/A</v>
      </c>
      <c r="AL24" s="107" t="e">
        <f ca="1">OFFSET('PERIOD 4'!$L$68,MATCH($A24,'PERIOD 4'!$B$69:$B$74,0),MATCH(AL$1,'PERIOD 4'!$M$3:$N$3,0))</f>
        <v>#N/A</v>
      </c>
      <c r="AM24" s="107" t="e">
        <f ca="1">OFFSET('PERIOD 4'!$L$68,MATCH($A24,'PERIOD 4'!$B$69:$B$74,0),MATCH(AM$1,'PERIOD 4'!$M$3:$N$3,0))</f>
        <v>#N/A</v>
      </c>
      <c r="AN24" s="107" t="e">
        <f ca="1">OFFSET('PERIOD 4'!$L$68,MATCH($A24,'PERIOD 4'!$B$69:$B$74,0),MATCH(AN$1,'PERIOD 4'!$M$3:$N$3,0))</f>
        <v>#N/A</v>
      </c>
      <c r="AO24" s="107" t="e">
        <f ca="1">OFFSET('PERIOD 4'!$L$68,MATCH($A24,'PERIOD 4'!$B$69:$B$74,0),MATCH(AO$1,'PERIOD 4'!$M$3:$N$3,0))</f>
        <v>#N/A</v>
      </c>
      <c r="AP24" s="107" t="e">
        <f ca="1">OFFSET('PERIOD 4'!$L$68,MATCH($A24,'PERIOD 4'!$B$69:$B$74,0),MATCH(AP$1,'PERIOD 4'!$M$3:$N$3,0))</f>
        <v>#N/A</v>
      </c>
      <c r="AQ24" s="107" t="e">
        <f ca="1">OFFSET('PERIOD 4'!$L$68,MATCH($A24,'PERIOD 4'!$B$69:$B$74,0),MATCH(AQ$1,'PERIOD 4'!$M$3:$N$3,0))</f>
        <v>#N/A</v>
      </c>
      <c r="AR24" s="107" t="e">
        <f ca="1">OFFSET('PERIOD 4'!$L$68,MATCH($A24,'PERIOD 4'!$B$69:$B$74,0),MATCH(AR$1,'PERIOD 4'!$M$3:$N$3,0))</f>
        <v>#N/A</v>
      </c>
      <c r="AS24" s="107" t="e">
        <f ca="1">OFFSET('PERIOD 4'!$L$68,MATCH($A24,'PERIOD 4'!$B$69:$B$74,0),MATCH(AS$1,'PERIOD 4'!$M$3:$N$3,0))</f>
        <v>#N/A</v>
      </c>
      <c r="AT24" s="107" t="e">
        <f ca="1">OFFSET('PERIOD 4'!$L$68,MATCH($A24,'PERIOD 4'!$B$69:$B$74,0),MATCH(AT$1,'PERIOD 4'!$M$3:$N$3,0))</f>
        <v>#N/A</v>
      </c>
      <c r="AU24" s="107" t="e">
        <f ca="1">OFFSET('PERIOD 4'!$L$68,MATCH($A24,'PERIOD 4'!$B$69:$B$74,0),MATCH(AU$1,'PERIOD 4'!$M$3:$N$3,0))</f>
        <v>#N/A</v>
      </c>
      <c r="AV24" s="107" t="e">
        <f ca="1">OFFSET('PERIOD 4'!$L$68,MATCH($A24,'PERIOD 4'!$B$69:$B$74,0),MATCH(AV$1,'PERIOD 4'!$M$3:$N$3,0))</f>
        <v>#N/A</v>
      </c>
      <c r="AW24" s="107" t="e">
        <f ca="1">OFFSET('PERIOD 4'!$L$68,MATCH($A24,'PERIOD 4'!$B$69:$B$74,0),MATCH(AW$1,'PERIOD 4'!$M$3:$N$3,0))</f>
        <v>#N/A</v>
      </c>
      <c r="AX24" s="107" t="e">
        <f ca="1">OFFSET('PERIOD 4'!$L$68,MATCH($A24,'PERIOD 4'!$B$69:$B$74,0),MATCH(AX$1,'PERIOD 4'!$M$3:$N$3,0))</f>
        <v>#N/A</v>
      </c>
    </row>
    <row r="25" spans="1:50" ht="10.199999999999999" outlineLevel="1" x14ac:dyDescent="0.2">
      <c r="A25" s="34" t="s">
        <v>39</v>
      </c>
      <c r="C25" s="107" t="e">
        <f ca="1">OFFSET('PERIOD 4'!$L$68,MATCH($A25,'PERIOD 4'!$B$69:$B$74,0),MATCH(C$1,'PERIOD 4'!$M$3:$N$3,0))</f>
        <v>#N/A</v>
      </c>
      <c r="D25" s="107" t="e">
        <f ca="1">OFFSET('PERIOD 4'!$L$68,MATCH($A25,'PERIOD 4'!$B$69:$B$74,0),MATCH(D$1,'PERIOD 4'!$M$3:$N$3,0))</f>
        <v>#N/A</v>
      </c>
      <c r="E25" s="107" t="e">
        <f ca="1">OFFSET('PERIOD 4'!$L$68,MATCH($A25,'PERIOD 4'!$B$69:$B$74,0),MATCH(E$1,'PERIOD 4'!$M$3:$N$3,0))</f>
        <v>#N/A</v>
      </c>
      <c r="F25" s="107" t="e">
        <f ca="1">OFFSET('PERIOD 4'!$L$68,MATCH($A25,'PERIOD 4'!$B$69:$B$74,0),MATCH(F$1,'PERIOD 4'!$M$3:$N$3,0))</f>
        <v>#N/A</v>
      </c>
      <c r="G25" s="107" t="e">
        <f ca="1">OFFSET('PERIOD 4'!$L$68,MATCH($A25,'PERIOD 4'!$B$69:$B$74,0),MATCH(G$1,'PERIOD 4'!$M$3:$N$3,0))</f>
        <v>#N/A</v>
      </c>
      <c r="H25" s="107" t="e">
        <f ca="1">OFFSET('PERIOD 4'!$L$68,MATCH($A25,'PERIOD 4'!$B$69:$B$74,0),MATCH(H$1,'PERIOD 4'!$M$3:$N$3,0))</f>
        <v>#N/A</v>
      </c>
      <c r="I25" s="107" t="e">
        <f ca="1">OFFSET('PERIOD 4'!$L$68,MATCH($A25,'PERIOD 4'!$B$69:$B$74,0),MATCH(I$1,'PERIOD 4'!$M$3:$N$3,0))</f>
        <v>#N/A</v>
      </c>
      <c r="J25" s="107" t="e">
        <f ca="1">OFFSET('PERIOD 4'!$L$68,MATCH($A25,'PERIOD 4'!$B$69:$B$74,0),MATCH(J$1,'PERIOD 4'!$M$3:$N$3,0))</f>
        <v>#N/A</v>
      </c>
      <c r="K25" s="107" t="e">
        <f ca="1">OFFSET('PERIOD 4'!$L$68,MATCH($A25,'PERIOD 4'!$B$69:$B$74,0),MATCH(K$1,'PERIOD 4'!$M$3:$N$3,0))</f>
        <v>#N/A</v>
      </c>
      <c r="L25" s="107" t="e">
        <f ca="1">OFFSET('PERIOD 4'!$L$68,MATCH($A25,'PERIOD 4'!$B$69:$B$74,0),MATCH(L$1,'PERIOD 4'!$M$3:$N$3,0))</f>
        <v>#N/A</v>
      </c>
      <c r="M25" s="107" t="e">
        <f ca="1">OFFSET('PERIOD 4'!$L$68,MATCH($A25,'PERIOD 4'!$B$69:$B$74,0),MATCH(M$1,'PERIOD 4'!$M$3:$N$3,0))</f>
        <v>#N/A</v>
      </c>
      <c r="N25" s="107" t="e">
        <f ca="1">OFFSET('PERIOD 4'!$L$68,MATCH($A25,'PERIOD 4'!$B$69:$B$74,0),MATCH(N$1,'PERIOD 4'!$M$3:$N$3,0))</f>
        <v>#N/A</v>
      </c>
      <c r="O25" s="107" t="e">
        <f ca="1">OFFSET('PERIOD 4'!$L$68,MATCH($A25,'PERIOD 4'!$B$69:$B$74,0),MATCH(O$1,'PERIOD 4'!$M$3:$N$3,0))</f>
        <v>#N/A</v>
      </c>
      <c r="P25" s="107" t="e">
        <f ca="1">OFFSET('PERIOD 4'!$L$68,MATCH($A25,'PERIOD 4'!$B$69:$B$74,0),MATCH(P$1,'PERIOD 4'!$M$3:$N$3,0))</f>
        <v>#N/A</v>
      </c>
      <c r="Q25" s="107" t="e">
        <f ca="1">OFFSET('PERIOD 4'!$L$68,MATCH($A25,'PERIOD 4'!$B$69:$B$74,0),MATCH(Q$1,'PERIOD 4'!$M$3:$N$3,0))</f>
        <v>#N/A</v>
      </c>
      <c r="R25" s="107" t="e">
        <f ca="1">OFFSET('PERIOD 4'!$L$68,MATCH($A25,'PERIOD 4'!$B$69:$B$74,0),MATCH(R$1,'PERIOD 4'!$M$3:$N$3,0))</f>
        <v>#N/A</v>
      </c>
      <c r="S25" s="107" t="e">
        <f ca="1">OFFSET('PERIOD 4'!$L$68,MATCH($A25,'PERIOD 4'!$B$69:$B$74,0),MATCH(S$1,'PERIOD 4'!$M$3:$N$3,0))</f>
        <v>#N/A</v>
      </c>
      <c r="T25" s="107" t="e">
        <f ca="1">OFFSET('PERIOD 4'!$L$68,MATCH($A25,'PERIOD 4'!$B$69:$B$74,0),MATCH(T$1,'PERIOD 4'!$M$3:$N$3,0))</f>
        <v>#N/A</v>
      </c>
      <c r="U25" s="107" t="e">
        <f ca="1">OFFSET('PERIOD 4'!$L$68,MATCH($A25,'PERIOD 4'!$B$69:$B$74,0),MATCH(U$1,'PERIOD 4'!$M$3:$N$3,0))</f>
        <v>#N/A</v>
      </c>
      <c r="V25" s="107" t="e">
        <f ca="1">OFFSET('PERIOD 4'!$L$68,MATCH($A25,'PERIOD 4'!$B$69:$B$74,0),MATCH(V$1,'PERIOD 4'!$M$3:$N$3,0))</f>
        <v>#N/A</v>
      </c>
      <c r="W25" s="107" t="e">
        <f ca="1">OFFSET('PERIOD 4'!$L$68,MATCH($A25,'PERIOD 4'!$B$69:$B$74,0),MATCH(W$1,'PERIOD 4'!$M$3:$N$3,0))</f>
        <v>#N/A</v>
      </c>
      <c r="X25" s="107" t="e">
        <f ca="1">OFFSET('PERIOD 4'!$L$68,MATCH($A25,'PERIOD 4'!$B$69:$B$74,0),MATCH(X$1,'PERIOD 4'!$M$3:$N$3,0))</f>
        <v>#N/A</v>
      </c>
      <c r="Y25" s="107" t="e">
        <f ca="1">OFFSET('PERIOD 4'!$L$68,MATCH($A25,'PERIOD 4'!$B$69:$B$74,0),MATCH(Y$1,'PERIOD 4'!$M$3:$N$3,0))</f>
        <v>#N/A</v>
      </c>
      <c r="Z25" s="107" t="e">
        <f ca="1">OFFSET('PERIOD 4'!$L$68,MATCH($A25,'PERIOD 4'!$B$69:$B$74,0),MATCH(Z$1,'PERIOD 4'!$M$3:$N$3,0))</f>
        <v>#N/A</v>
      </c>
      <c r="AA25" s="107" t="e">
        <f ca="1">OFFSET('PERIOD 4'!$L$68,MATCH($A25,'PERIOD 4'!$B$69:$B$74,0),MATCH(AA$1,'PERIOD 4'!$M$3:$N$3,0))</f>
        <v>#N/A</v>
      </c>
      <c r="AB25" s="107" t="e">
        <f ca="1">OFFSET('PERIOD 4'!$L$68,MATCH($A25,'PERIOD 4'!$B$69:$B$74,0),MATCH(AB$1,'PERIOD 4'!$M$3:$N$3,0))</f>
        <v>#N/A</v>
      </c>
      <c r="AC25" s="107" t="e">
        <f ca="1">OFFSET('PERIOD 4'!$L$68,MATCH($A25,'PERIOD 4'!$B$69:$B$74,0),MATCH(AC$1,'PERIOD 4'!$M$3:$N$3,0))</f>
        <v>#N/A</v>
      </c>
      <c r="AD25" s="107" t="e">
        <f ca="1">OFFSET('PERIOD 4'!$L$68,MATCH($A25,'PERIOD 4'!$B$69:$B$74,0),MATCH(AD$1,'PERIOD 4'!$M$3:$N$3,0))</f>
        <v>#N/A</v>
      </c>
      <c r="AE25" s="107" t="e">
        <f ca="1">OFFSET('PERIOD 4'!$L$68,MATCH($A25,'PERIOD 4'!$B$69:$B$74,0),MATCH(AE$1,'PERIOD 4'!$M$3:$N$3,0))</f>
        <v>#N/A</v>
      </c>
      <c r="AF25" s="107" t="e">
        <f ca="1">OFFSET('PERIOD 4'!$L$68,MATCH($A25,'PERIOD 4'!$B$69:$B$74,0),MATCH(AF$1,'PERIOD 4'!$M$3:$N$3,0))</f>
        <v>#N/A</v>
      </c>
      <c r="AG25" s="107" t="e">
        <f ca="1">OFFSET('PERIOD 4'!$L$68,MATCH($A25,'PERIOD 4'!$B$69:$B$74,0),MATCH(AG$1,'PERIOD 4'!$M$3:$N$3,0))</f>
        <v>#N/A</v>
      </c>
      <c r="AH25" s="107" t="e">
        <f ca="1">OFFSET('PERIOD 4'!$L$68,MATCH($A25,'PERIOD 4'!$B$69:$B$74,0),MATCH(AH$1,'PERIOD 4'!$M$3:$N$3,0))</f>
        <v>#N/A</v>
      </c>
      <c r="AI25" s="107" t="e">
        <f ca="1">OFFSET('PERIOD 4'!$L$68,MATCH($A25,'PERIOD 4'!$B$69:$B$74,0),MATCH(AI$1,'PERIOD 4'!$M$3:$N$3,0))</f>
        <v>#N/A</v>
      </c>
      <c r="AJ25" s="107" t="e">
        <f ca="1">OFFSET('PERIOD 4'!$L$68,MATCH($A25,'PERIOD 4'!$B$69:$B$74,0),MATCH(AJ$1,'PERIOD 4'!$M$3:$N$3,0))</f>
        <v>#N/A</v>
      </c>
      <c r="AK25" s="107" t="e">
        <f ca="1">OFFSET('PERIOD 4'!$L$68,MATCH($A25,'PERIOD 4'!$B$69:$B$74,0),MATCH(AK$1,'PERIOD 4'!$M$3:$N$3,0))</f>
        <v>#N/A</v>
      </c>
      <c r="AL25" s="107" t="e">
        <f ca="1">OFFSET('PERIOD 4'!$L$68,MATCH($A25,'PERIOD 4'!$B$69:$B$74,0),MATCH(AL$1,'PERIOD 4'!$M$3:$N$3,0))</f>
        <v>#N/A</v>
      </c>
      <c r="AM25" s="107" t="e">
        <f ca="1">OFFSET('PERIOD 4'!$L$68,MATCH($A25,'PERIOD 4'!$B$69:$B$74,0),MATCH(AM$1,'PERIOD 4'!$M$3:$N$3,0))</f>
        <v>#N/A</v>
      </c>
      <c r="AN25" s="107" t="e">
        <f ca="1">OFFSET('PERIOD 4'!$L$68,MATCH($A25,'PERIOD 4'!$B$69:$B$74,0),MATCH(AN$1,'PERIOD 4'!$M$3:$N$3,0))</f>
        <v>#N/A</v>
      </c>
      <c r="AO25" s="107" t="e">
        <f ca="1">OFFSET('PERIOD 4'!$L$68,MATCH($A25,'PERIOD 4'!$B$69:$B$74,0),MATCH(AO$1,'PERIOD 4'!$M$3:$N$3,0))</f>
        <v>#N/A</v>
      </c>
      <c r="AP25" s="107" t="e">
        <f ca="1">OFFSET('PERIOD 4'!$L$68,MATCH($A25,'PERIOD 4'!$B$69:$B$74,0),MATCH(AP$1,'PERIOD 4'!$M$3:$N$3,0))</f>
        <v>#N/A</v>
      </c>
      <c r="AQ25" s="107" t="e">
        <f ca="1">OFFSET('PERIOD 4'!$L$68,MATCH($A25,'PERIOD 4'!$B$69:$B$74,0),MATCH(AQ$1,'PERIOD 4'!$M$3:$N$3,0))</f>
        <v>#N/A</v>
      </c>
      <c r="AR25" s="107" t="e">
        <f ca="1">OFFSET('PERIOD 4'!$L$68,MATCH($A25,'PERIOD 4'!$B$69:$B$74,0),MATCH(AR$1,'PERIOD 4'!$M$3:$N$3,0))</f>
        <v>#N/A</v>
      </c>
      <c r="AS25" s="107" t="e">
        <f ca="1">OFFSET('PERIOD 4'!$L$68,MATCH($A25,'PERIOD 4'!$B$69:$B$74,0),MATCH(AS$1,'PERIOD 4'!$M$3:$N$3,0))</f>
        <v>#N/A</v>
      </c>
      <c r="AT25" s="107" t="e">
        <f ca="1">OFFSET('PERIOD 4'!$L$68,MATCH($A25,'PERIOD 4'!$B$69:$B$74,0),MATCH(AT$1,'PERIOD 4'!$M$3:$N$3,0))</f>
        <v>#N/A</v>
      </c>
      <c r="AU25" s="107" t="e">
        <f ca="1">OFFSET('PERIOD 4'!$L$68,MATCH($A25,'PERIOD 4'!$B$69:$B$74,0),MATCH(AU$1,'PERIOD 4'!$M$3:$N$3,0))</f>
        <v>#N/A</v>
      </c>
      <c r="AV25" s="107" t="e">
        <f ca="1">OFFSET('PERIOD 4'!$L$68,MATCH($A25,'PERIOD 4'!$B$69:$B$74,0),MATCH(AV$1,'PERIOD 4'!$M$3:$N$3,0))</f>
        <v>#N/A</v>
      </c>
      <c r="AW25" s="107" t="e">
        <f ca="1">OFFSET('PERIOD 4'!$L$68,MATCH($A25,'PERIOD 4'!$B$69:$B$74,0),MATCH(AW$1,'PERIOD 4'!$M$3:$N$3,0))</f>
        <v>#N/A</v>
      </c>
      <c r="AX25" s="107" t="e">
        <f ca="1">OFFSET('PERIOD 4'!$L$68,MATCH($A25,'PERIOD 4'!$B$69:$B$74,0),MATCH(AX$1,'PERIOD 4'!$M$3:$N$3,0))</f>
        <v>#N/A</v>
      </c>
    </row>
    <row r="26" spans="1:50" ht="10.199999999999999" outlineLevel="1" x14ac:dyDescent="0.2">
      <c r="A26" s="34" t="s">
        <v>54</v>
      </c>
      <c r="C26" s="107" t="e">
        <f ca="1">OFFSET('PERIOD 4'!$L$68,MATCH($A26,'PERIOD 4'!$B$69:$B$74,0),MATCH(C$1,'PERIOD 4'!$M$3:$N$3,0))</f>
        <v>#N/A</v>
      </c>
      <c r="D26" s="107" t="e">
        <f ca="1">OFFSET('PERIOD 4'!$L$68,MATCH($A26,'PERIOD 4'!$B$69:$B$74,0),MATCH(D$1,'PERIOD 4'!$M$3:$N$3,0))</f>
        <v>#N/A</v>
      </c>
      <c r="E26" s="107" t="e">
        <f ca="1">OFFSET('PERIOD 4'!$L$68,MATCH($A26,'PERIOD 4'!$B$69:$B$74,0),MATCH(E$1,'PERIOD 4'!$M$3:$N$3,0))</f>
        <v>#N/A</v>
      </c>
      <c r="F26" s="107" t="e">
        <f ca="1">OFFSET('PERIOD 4'!$L$68,MATCH($A26,'PERIOD 4'!$B$69:$B$74,0),MATCH(F$1,'PERIOD 4'!$M$3:$N$3,0))</f>
        <v>#N/A</v>
      </c>
      <c r="G26" s="107" t="e">
        <f ca="1">OFFSET('PERIOD 4'!$L$68,MATCH($A26,'PERIOD 4'!$B$69:$B$74,0),MATCH(G$1,'PERIOD 4'!$M$3:$N$3,0))</f>
        <v>#N/A</v>
      </c>
      <c r="H26" s="107" t="e">
        <f ca="1">OFFSET('PERIOD 4'!$L$68,MATCH($A26,'PERIOD 4'!$B$69:$B$74,0),MATCH(H$1,'PERIOD 4'!$M$3:$N$3,0))</f>
        <v>#N/A</v>
      </c>
      <c r="I26" s="107" t="e">
        <f ca="1">OFFSET('PERIOD 4'!$L$68,MATCH($A26,'PERIOD 4'!$B$69:$B$74,0),MATCH(I$1,'PERIOD 4'!$M$3:$N$3,0))</f>
        <v>#N/A</v>
      </c>
      <c r="J26" s="107" t="e">
        <f ca="1">OFFSET('PERIOD 4'!$L$68,MATCH($A26,'PERIOD 4'!$B$69:$B$74,0),MATCH(J$1,'PERIOD 4'!$M$3:$N$3,0))</f>
        <v>#N/A</v>
      </c>
      <c r="K26" s="107" t="e">
        <f ca="1">OFFSET('PERIOD 4'!$L$68,MATCH($A26,'PERIOD 4'!$B$69:$B$74,0),MATCH(K$1,'PERIOD 4'!$M$3:$N$3,0))</f>
        <v>#N/A</v>
      </c>
      <c r="L26" s="107" t="e">
        <f ca="1">OFFSET('PERIOD 4'!$L$68,MATCH($A26,'PERIOD 4'!$B$69:$B$74,0),MATCH(L$1,'PERIOD 4'!$M$3:$N$3,0))</f>
        <v>#N/A</v>
      </c>
      <c r="M26" s="107" t="e">
        <f ca="1">OFFSET('PERIOD 4'!$L$68,MATCH($A26,'PERIOD 4'!$B$69:$B$74,0),MATCH(M$1,'PERIOD 4'!$M$3:$N$3,0))</f>
        <v>#N/A</v>
      </c>
      <c r="N26" s="107" t="e">
        <f ca="1">OFFSET('PERIOD 4'!$L$68,MATCH($A26,'PERIOD 4'!$B$69:$B$74,0),MATCH(N$1,'PERIOD 4'!$M$3:$N$3,0))</f>
        <v>#N/A</v>
      </c>
      <c r="O26" s="107" t="e">
        <f ca="1">OFFSET('PERIOD 4'!$L$68,MATCH($A26,'PERIOD 4'!$B$69:$B$74,0),MATCH(O$1,'PERIOD 4'!$M$3:$N$3,0))</f>
        <v>#N/A</v>
      </c>
      <c r="P26" s="107" t="e">
        <f ca="1">OFFSET('PERIOD 4'!$L$68,MATCH($A26,'PERIOD 4'!$B$69:$B$74,0),MATCH(P$1,'PERIOD 4'!$M$3:$N$3,0))</f>
        <v>#N/A</v>
      </c>
      <c r="Q26" s="107" t="e">
        <f ca="1">OFFSET('PERIOD 4'!$L$68,MATCH($A26,'PERIOD 4'!$B$69:$B$74,0),MATCH(Q$1,'PERIOD 4'!$M$3:$N$3,0))</f>
        <v>#N/A</v>
      </c>
      <c r="R26" s="107" t="e">
        <f ca="1">OFFSET('PERIOD 4'!$L$68,MATCH($A26,'PERIOD 4'!$B$69:$B$74,0),MATCH(R$1,'PERIOD 4'!$M$3:$N$3,0))</f>
        <v>#N/A</v>
      </c>
      <c r="S26" s="107" t="e">
        <f ca="1">OFFSET('PERIOD 4'!$L$68,MATCH($A26,'PERIOD 4'!$B$69:$B$74,0),MATCH(S$1,'PERIOD 4'!$M$3:$N$3,0))</f>
        <v>#N/A</v>
      </c>
      <c r="T26" s="107" t="e">
        <f ca="1">OFFSET('PERIOD 4'!$L$68,MATCH($A26,'PERIOD 4'!$B$69:$B$74,0),MATCH(T$1,'PERIOD 4'!$M$3:$N$3,0))</f>
        <v>#N/A</v>
      </c>
      <c r="U26" s="107" t="e">
        <f ca="1">OFFSET('PERIOD 4'!$L$68,MATCH($A26,'PERIOD 4'!$B$69:$B$74,0),MATCH(U$1,'PERIOD 4'!$M$3:$N$3,0))</f>
        <v>#N/A</v>
      </c>
      <c r="V26" s="107" t="e">
        <f ca="1">OFFSET('PERIOD 4'!$L$68,MATCH($A26,'PERIOD 4'!$B$69:$B$74,0),MATCH(V$1,'PERIOD 4'!$M$3:$N$3,0))</f>
        <v>#N/A</v>
      </c>
      <c r="W26" s="107" t="e">
        <f ca="1">OFFSET('PERIOD 4'!$L$68,MATCH($A26,'PERIOD 4'!$B$69:$B$74,0),MATCH(W$1,'PERIOD 4'!$M$3:$N$3,0))</f>
        <v>#N/A</v>
      </c>
      <c r="X26" s="107" t="e">
        <f ca="1">OFFSET('PERIOD 4'!$L$68,MATCH($A26,'PERIOD 4'!$B$69:$B$74,0),MATCH(X$1,'PERIOD 4'!$M$3:$N$3,0))</f>
        <v>#N/A</v>
      </c>
      <c r="Y26" s="107" t="e">
        <f ca="1">OFFSET('PERIOD 4'!$L$68,MATCH($A26,'PERIOD 4'!$B$69:$B$74,0),MATCH(Y$1,'PERIOD 4'!$M$3:$N$3,0))</f>
        <v>#N/A</v>
      </c>
      <c r="Z26" s="107" t="e">
        <f ca="1">OFFSET('PERIOD 4'!$L$68,MATCH($A26,'PERIOD 4'!$B$69:$B$74,0),MATCH(Z$1,'PERIOD 4'!$M$3:$N$3,0))</f>
        <v>#N/A</v>
      </c>
      <c r="AA26" s="107" t="e">
        <f ca="1">OFFSET('PERIOD 4'!$L$68,MATCH($A26,'PERIOD 4'!$B$69:$B$74,0),MATCH(AA$1,'PERIOD 4'!$M$3:$N$3,0))</f>
        <v>#N/A</v>
      </c>
      <c r="AB26" s="107" t="e">
        <f ca="1">OFFSET('PERIOD 4'!$L$68,MATCH($A26,'PERIOD 4'!$B$69:$B$74,0),MATCH(AB$1,'PERIOD 4'!$M$3:$N$3,0))</f>
        <v>#N/A</v>
      </c>
      <c r="AC26" s="107" t="e">
        <f ca="1">OFFSET('PERIOD 4'!$L$68,MATCH($A26,'PERIOD 4'!$B$69:$B$74,0),MATCH(AC$1,'PERIOD 4'!$M$3:$N$3,0))</f>
        <v>#N/A</v>
      </c>
      <c r="AD26" s="107" t="e">
        <f ca="1">OFFSET('PERIOD 4'!$L$68,MATCH($A26,'PERIOD 4'!$B$69:$B$74,0),MATCH(AD$1,'PERIOD 4'!$M$3:$N$3,0))</f>
        <v>#N/A</v>
      </c>
      <c r="AE26" s="107" t="e">
        <f ca="1">OFFSET('PERIOD 4'!$L$68,MATCH($A26,'PERIOD 4'!$B$69:$B$74,0),MATCH(AE$1,'PERIOD 4'!$M$3:$N$3,0))</f>
        <v>#N/A</v>
      </c>
      <c r="AF26" s="107" t="e">
        <f ca="1">OFFSET('PERIOD 4'!$L$68,MATCH($A26,'PERIOD 4'!$B$69:$B$74,0),MATCH(AF$1,'PERIOD 4'!$M$3:$N$3,0))</f>
        <v>#N/A</v>
      </c>
      <c r="AG26" s="107" t="e">
        <f ca="1">OFFSET('PERIOD 4'!$L$68,MATCH($A26,'PERIOD 4'!$B$69:$B$74,0),MATCH(AG$1,'PERIOD 4'!$M$3:$N$3,0))</f>
        <v>#N/A</v>
      </c>
      <c r="AH26" s="107" t="e">
        <f ca="1">OFFSET('PERIOD 4'!$L$68,MATCH($A26,'PERIOD 4'!$B$69:$B$74,0),MATCH(AH$1,'PERIOD 4'!$M$3:$N$3,0))</f>
        <v>#N/A</v>
      </c>
      <c r="AI26" s="107" t="e">
        <f ca="1">OFFSET('PERIOD 4'!$L$68,MATCH($A26,'PERIOD 4'!$B$69:$B$74,0),MATCH(AI$1,'PERIOD 4'!$M$3:$N$3,0))</f>
        <v>#N/A</v>
      </c>
      <c r="AJ26" s="107" t="e">
        <f ca="1">OFFSET('PERIOD 4'!$L$68,MATCH($A26,'PERIOD 4'!$B$69:$B$74,0),MATCH(AJ$1,'PERIOD 4'!$M$3:$N$3,0))</f>
        <v>#N/A</v>
      </c>
      <c r="AK26" s="107" t="e">
        <f ca="1">OFFSET('PERIOD 4'!$L$68,MATCH($A26,'PERIOD 4'!$B$69:$B$74,0),MATCH(AK$1,'PERIOD 4'!$M$3:$N$3,0))</f>
        <v>#N/A</v>
      </c>
      <c r="AL26" s="107" t="e">
        <f ca="1">OFFSET('PERIOD 4'!$L$68,MATCH($A26,'PERIOD 4'!$B$69:$B$74,0),MATCH(AL$1,'PERIOD 4'!$M$3:$N$3,0))</f>
        <v>#N/A</v>
      </c>
      <c r="AM26" s="107" t="e">
        <f ca="1">OFFSET('PERIOD 4'!$L$68,MATCH($A26,'PERIOD 4'!$B$69:$B$74,0),MATCH(AM$1,'PERIOD 4'!$M$3:$N$3,0))</f>
        <v>#N/A</v>
      </c>
      <c r="AN26" s="107" t="e">
        <f ca="1">OFFSET('PERIOD 4'!$L$68,MATCH($A26,'PERIOD 4'!$B$69:$B$74,0),MATCH(AN$1,'PERIOD 4'!$M$3:$N$3,0))</f>
        <v>#N/A</v>
      </c>
      <c r="AO26" s="107" t="e">
        <f ca="1">OFFSET('PERIOD 4'!$L$68,MATCH($A26,'PERIOD 4'!$B$69:$B$74,0),MATCH(AO$1,'PERIOD 4'!$M$3:$N$3,0))</f>
        <v>#N/A</v>
      </c>
      <c r="AP26" s="107" t="e">
        <f ca="1">OFFSET('PERIOD 4'!$L$68,MATCH($A26,'PERIOD 4'!$B$69:$B$74,0),MATCH(AP$1,'PERIOD 4'!$M$3:$N$3,0))</f>
        <v>#N/A</v>
      </c>
      <c r="AQ26" s="107" t="e">
        <f ca="1">OFFSET('PERIOD 4'!$L$68,MATCH($A26,'PERIOD 4'!$B$69:$B$74,0),MATCH(AQ$1,'PERIOD 4'!$M$3:$N$3,0))</f>
        <v>#N/A</v>
      </c>
      <c r="AR26" s="107" t="e">
        <f ca="1">OFFSET('PERIOD 4'!$L$68,MATCH($A26,'PERIOD 4'!$B$69:$B$74,0),MATCH(AR$1,'PERIOD 4'!$M$3:$N$3,0))</f>
        <v>#N/A</v>
      </c>
      <c r="AS26" s="107" t="e">
        <f ca="1">OFFSET('PERIOD 4'!$L$68,MATCH($A26,'PERIOD 4'!$B$69:$B$74,0),MATCH(AS$1,'PERIOD 4'!$M$3:$N$3,0))</f>
        <v>#N/A</v>
      </c>
      <c r="AT26" s="107" t="e">
        <f ca="1">OFFSET('PERIOD 4'!$L$68,MATCH($A26,'PERIOD 4'!$B$69:$B$74,0),MATCH(AT$1,'PERIOD 4'!$M$3:$N$3,0))</f>
        <v>#N/A</v>
      </c>
      <c r="AU26" s="107" t="e">
        <f ca="1">OFFSET('PERIOD 4'!$L$68,MATCH($A26,'PERIOD 4'!$B$69:$B$74,0),MATCH(AU$1,'PERIOD 4'!$M$3:$N$3,0))</f>
        <v>#N/A</v>
      </c>
      <c r="AV26" s="107" t="e">
        <f ca="1">OFFSET('PERIOD 4'!$L$68,MATCH($A26,'PERIOD 4'!$B$69:$B$74,0),MATCH(AV$1,'PERIOD 4'!$M$3:$N$3,0))</f>
        <v>#N/A</v>
      </c>
      <c r="AW26" s="107" t="e">
        <f ca="1">OFFSET('PERIOD 4'!$L$68,MATCH($A26,'PERIOD 4'!$B$69:$B$74,0),MATCH(AW$1,'PERIOD 4'!$M$3:$N$3,0))</f>
        <v>#N/A</v>
      </c>
      <c r="AX26" s="107" t="e">
        <f ca="1">OFFSET('PERIOD 4'!$L$68,MATCH($A26,'PERIOD 4'!$B$69:$B$74,0),MATCH(AX$1,'PERIOD 4'!$M$3:$N$3,0))</f>
        <v>#N/A</v>
      </c>
    </row>
    <row r="27" spans="1:50" ht="10.199999999999999" outlineLevel="1" x14ac:dyDescent="0.2">
      <c r="A27" s="34" t="s">
        <v>36</v>
      </c>
      <c r="C27" s="107" t="e">
        <f ca="1">OFFSET('PERIOD 4'!$L$68,MATCH($A27,'PERIOD 4'!$B$69:$B$74,0),MATCH(C$1,'PERIOD 4'!$M$3:$N$3,0))</f>
        <v>#N/A</v>
      </c>
      <c r="D27" s="107" t="e">
        <f ca="1">OFFSET('PERIOD 4'!$L$68,MATCH($A27,'PERIOD 4'!$B$69:$B$74,0),MATCH(D$1,'PERIOD 4'!$M$3:$N$3,0))</f>
        <v>#N/A</v>
      </c>
      <c r="E27" s="107" t="e">
        <f ca="1">OFFSET('PERIOD 4'!$L$68,MATCH($A27,'PERIOD 4'!$B$69:$B$74,0),MATCH(E$1,'PERIOD 4'!$M$3:$N$3,0))</f>
        <v>#N/A</v>
      </c>
      <c r="F27" s="107" t="e">
        <f ca="1">OFFSET('PERIOD 4'!$L$68,MATCH($A27,'PERIOD 4'!$B$69:$B$74,0),MATCH(F$1,'PERIOD 4'!$M$3:$N$3,0))</f>
        <v>#N/A</v>
      </c>
      <c r="G27" s="107" t="e">
        <f ca="1">OFFSET('PERIOD 4'!$L$68,MATCH($A27,'PERIOD 4'!$B$69:$B$74,0),MATCH(G$1,'PERIOD 4'!$M$3:$N$3,0))</f>
        <v>#N/A</v>
      </c>
      <c r="H27" s="107" t="e">
        <f ca="1">OFFSET('PERIOD 4'!$L$68,MATCH($A27,'PERIOD 4'!$B$69:$B$74,0),MATCH(H$1,'PERIOD 4'!$M$3:$N$3,0))</f>
        <v>#N/A</v>
      </c>
      <c r="I27" s="107" t="e">
        <f ca="1">OFFSET('PERIOD 4'!$L$68,MATCH($A27,'PERIOD 4'!$B$69:$B$74,0),MATCH(I$1,'PERIOD 4'!$M$3:$N$3,0))</f>
        <v>#N/A</v>
      </c>
      <c r="J27" s="107" t="e">
        <f ca="1">OFFSET('PERIOD 4'!$L$68,MATCH($A27,'PERIOD 4'!$B$69:$B$74,0),MATCH(J$1,'PERIOD 4'!$M$3:$N$3,0))</f>
        <v>#N/A</v>
      </c>
      <c r="K27" s="107" t="e">
        <f ca="1">OFFSET('PERIOD 4'!$L$68,MATCH($A27,'PERIOD 4'!$B$69:$B$74,0),MATCH(K$1,'PERIOD 4'!$M$3:$N$3,0))</f>
        <v>#N/A</v>
      </c>
      <c r="L27" s="107" t="e">
        <f ca="1">OFFSET('PERIOD 4'!$L$68,MATCH($A27,'PERIOD 4'!$B$69:$B$74,0),MATCH(L$1,'PERIOD 4'!$M$3:$N$3,0))</f>
        <v>#N/A</v>
      </c>
      <c r="M27" s="107" t="e">
        <f ca="1">OFFSET('PERIOD 4'!$L$68,MATCH($A27,'PERIOD 4'!$B$69:$B$74,0),MATCH(M$1,'PERIOD 4'!$M$3:$N$3,0))</f>
        <v>#N/A</v>
      </c>
      <c r="N27" s="107" t="e">
        <f ca="1">OFFSET('PERIOD 4'!$L$68,MATCH($A27,'PERIOD 4'!$B$69:$B$74,0),MATCH(N$1,'PERIOD 4'!$M$3:$N$3,0))</f>
        <v>#N/A</v>
      </c>
      <c r="O27" s="107" t="e">
        <f ca="1">OFFSET('PERIOD 4'!$L$68,MATCH($A27,'PERIOD 4'!$B$69:$B$74,0),MATCH(O$1,'PERIOD 4'!$M$3:$N$3,0))</f>
        <v>#N/A</v>
      </c>
      <c r="P27" s="107" t="e">
        <f ca="1">OFFSET('PERIOD 4'!$L$68,MATCH($A27,'PERIOD 4'!$B$69:$B$74,0),MATCH(P$1,'PERIOD 4'!$M$3:$N$3,0))</f>
        <v>#N/A</v>
      </c>
      <c r="Q27" s="107" t="e">
        <f ca="1">OFFSET('PERIOD 4'!$L$68,MATCH($A27,'PERIOD 4'!$B$69:$B$74,0),MATCH(Q$1,'PERIOD 4'!$M$3:$N$3,0))</f>
        <v>#N/A</v>
      </c>
      <c r="R27" s="107" t="e">
        <f ca="1">OFFSET('PERIOD 4'!$L$68,MATCH($A27,'PERIOD 4'!$B$69:$B$74,0),MATCH(R$1,'PERIOD 4'!$M$3:$N$3,0))</f>
        <v>#N/A</v>
      </c>
      <c r="S27" s="107" t="e">
        <f ca="1">OFFSET('PERIOD 4'!$L$68,MATCH($A27,'PERIOD 4'!$B$69:$B$74,0),MATCH(S$1,'PERIOD 4'!$M$3:$N$3,0))</f>
        <v>#N/A</v>
      </c>
      <c r="T27" s="107" t="e">
        <f ca="1">OFFSET('PERIOD 4'!$L$68,MATCH($A27,'PERIOD 4'!$B$69:$B$74,0),MATCH(T$1,'PERIOD 4'!$M$3:$N$3,0))</f>
        <v>#N/A</v>
      </c>
      <c r="U27" s="107" t="e">
        <f ca="1">OFFSET('PERIOD 4'!$L$68,MATCH($A27,'PERIOD 4'!$B$69:$B$74,0),MATCH(U$1,'PERIOD 4'!$M$3:$N$3,0))</f>
        <v>#N/A</v>
      </c>
      <c r="V27" s="107" t="e">
        <f ca="1">OFFSET('PERIOD 4'!$L$68,MATCH($A27,'PERIOD 4'!$B$69:$B$74,0),MATCH(V$1,'PERIOD 4'!$M$3:$N$3,0))</f>
        <v>#N/A</v>
      </c>
      <c r="W27" s="107" t="e">
        <f ca="1">OFFSET('PERIOD 4'!$L$68,MATCH($A27,'PERIOD 4'!$B$69:$B$74,0),MATCH(W$1,'PERIOD 4'!$M$3:$N$3,0))</f>
        <v>#N/A</v>
      </c>
      <c r="X27" s="107" t="e">
        <f ca="1">OFFSET('PERIOD 4'!$L$68,MATCH($A27,'PERIOD 4'!$B$69:$B$74,0),MATCH(X$1,'PERIOD 4'!$M$3:$N$3,0))</f>
        <v>#N/A</v>
      </c>
      <c r="Y27" s="107" t="e">
        <f ca="1">OFFSET('PERIOD 4'!$L$68,MATCH($A27,'PERIOD 4'!$B$69:$B$74,0),MATCH(Y$1,'PERIOD 4'!$M$3:$N$3,0))</f>
        <v>#N/A</v>
      </c>
      <c r="Z27" s="107" t="e">
        <f ca="1">OFFSET('PERIOD 4'!$L$68,MATCH($A27,'PERIOD 4'!$B$69:$B$74,0),MATCH(Z$1,'PERIOD 4'!$M$3:$N$3,0))</f>
        <v>#N/A</v>
      </c>
      <c r="AA27" s="107" t="e">
        <f ca="1">OFFSET('PERIOD 4'!$L$68,MATCH($A27,'PERIOD 4'!$B$69:$B$74,0),MATCH(AA$1,'PERIOD 4'!$M$3:$N$3,0))</f>
        <v>#N/A</v>
      </c>
      <c r="AB27" s="107" t="e">
        <f ca="1">OFFSET('PERIOD 4'!$L$68,MATCH($A27,'PERIOD 4'!$B$69:$B$74,0),MATCH(AB$1,'PERIOD 4'!$M$3:$N$3,0))</f>
        <v>#N/A</v>
      </c>
      <c r="AC27" s="107" t="e">
        <f ca="1">OFFSET('PERIOD 4'!$L$68,MATCH($A27,'PERIOD 4'!$B$69:$B$74,0),MATCH(AC$1,'PERIOD 4'!$M$3:$N$3,0))</f>
        <v>#N/A</v>
      </c>
      <c r="AD27" s="107" t="e">
        <f ca="1">OFFSET('PERIOD 4'!$L$68,MATCH($A27,'PERIOD 4'!$B$69:$B$74,0),MATCH(AD$1,'PERIOD 4'!$M$3:$N$3,0))</f>
        <v>#N/A</v>
      </c>
      <c r="AE27" s="107" t="e">
        <f ca="1">OFFSET('PERIOD 4'!$L$68,MATCH($A27,'PERIOD 4'!$B$69:$B$74,0),MATCH(AE$1,'PERIOD 4'!$M$3:$N$3,0))</f>
        <v>#N/A</v>
      </c>
      <c r="AF27" s="107" t="e">
        <f ca="1">OFFSET('PERIOD 4'!$L$68,MATCH($A27,'PERIOD 4'!$B$69:$B$74,0),MATCH(AF$1,'PERIOD 4'!$M$3:$N$3,0))</f>
        <v>#N/A</v>
      </c>
      <c r="AG27" s="107" t="e">
        <f ca="1">OFFSET('PERIOD 4'!$L$68,MATCH($A27,'PERIOD 4'!$B$69:$B$74,0),MATCH(AG$1,'PERIOD 4'!$M$3:$N$3,0))</f>
        <v>#N/A</v>
      </c>
      <c r="AH27" s="107" t="e">
        <f ca="1">OFFSET('PERIOD 4'!$L$68,MATCH($A27,'PERIOD 4'!$B$69:$B$74,0),MATCH(AH$1,'PERIOD 4'!$M$3:$N$3,0))</f>
        <v>#N/A</v>
      </c>
      <c r="AI27" s="107" t="e">
        <f ca="1">OFFSET('PERIOD 4'!$L$68,MATCH($A27,'PERIOD 4'!$B$69:$B$74,0),MATCH(AI$1,'PERIOD 4'!$M$3:$N$3,0))</f>
        <v>#N/A</v>
      </c>
      <c r="AJ27" s="107" t="e">
        <f ca="1">OFFSET('PERIOD 4'!$L$68,MATCH($A27,'PERIOD 4'!$B$69:$B$74,0),MATCH(AJ$1,'PERIOD 4'!$M$3:$N$3,0))</f>
        <v>#N/A</v>
      </c>
      <c r="AK27" s="107" t="e">
        <f ca="1">OFFSET('PERIOD 4'!$L$68,MATCH($A27,'PERIOD 4'!$B$69:$B$74,0),MATCH(AK$1,'PERIOD 4'!$M$3:$N$3,0))</f>
        <v>#N/A</v>
      </c>
      <c r="AL27" s="107" t="e">
        <f ca="1">OFFSET('PERIOD 4'!$L$68,MATCH($A27,'PERIOD 4'!$B$69:$B$74,0),MATCH(AL$1,'PERIOD 4'!$M$3:$N$3,0))</f>
        <v>#N/A</v>
      </c>
      <c r="AM27" s="107" t="e">
        <f ca="1">OFFSET('PERIOD 4'!$L$68,MATCH($A27,'PERIOD 4'!$B$69:$B$74,0),MATCH(AM$1,'PERIOD 4'!$M$3:$N$3,0))</f>
        <v>#N/A</v>
      </c>
      <c r="AN27" s="107" t="e">
        <f ca="1">OFFSET('PERIOD 4'!$L$68,MATCH($A27,'PERIOD 4'!$B$69:$B$74,0),MATCH(AN$1,'PERIOD 4'!$M$3:$N$3,0))</f>
        <v>#N/A</v>
      </c>
      <c r="AO27" s="107" t="e">
        <f ca="1">OFFSET('PERIOD 4'!$L$68,MATCH($A27,'PERIOD 4'!$B$69:$B$74,0),MATCH(AO$1,'PERIOD 4'!$M$3:$N$3,0))</f>
        <v>#N/A</v>
      </c>
      <c r="AP27" s="107" t="e">
        <f ca="1">OFFSET('PERIOD 4'!$L$68,MATCH($A27,'PERIOD 4'!$B$69:$B$74,0),MATCH(AP$1,'PERIOD 4'!$M$3:$N$3,0))</f>
        <v>#N/A</v>
      </c>
      <c r="AQ27" s="107" t="e">
        <f ca="1">OFFSET('PERIOD 4'!$L$68,MATCH($A27,'PERIOD 4'!$B$69:$B$74,0),MATCH(AQ$1,'PERIOD 4'!$M$3:$N$3,0))</f>
        <v>#N/A</v>
      </c>
      <c r="AR27" s="107" t="e">
        <f ca="1">OFFSET('PERIOD 4'!$L$68,MATCH($A27,'PERIOD 4'!$B$69:$B$74,0),MATCH(AR$1,'PERIOD 4'!$M$3:$N$3,0))</f>
        <v>#N/A</v>
      </c>
      <c r="AS27" s="107" t="e">
        <f ca="1">OFFSET('PERIOD 4'!$L$68,MATCH($A27,'PERIOD 4'!$B$69:$B$74,0),MATCH(AS$1,'PERIOD 4'!$M$3:$N$3,0))</f>
        <v>#N/A</v>
      </c>
      <c r="AT27" s="107" t="e">
        <f ca="1">OFFSET('PERIOD 4'!$L$68,MATCH($A27,'PERIOD 4'!$B$69:$B$74,0),MATCH(AT$1,'PERIOD 4'!$M$3:$N$3,0))</f>
        <v>#N/A</v>
      </c>
      <c r="AU27" s="107" t="e">
        <f ca="1">OFFSET('PERIOD 4'!$L$68,MATCH($A27,'PERIOD 4'!$B$69:$B$74,0),MATCH(AU$1,'PERIOD 4'!$M$3:$N$3,0))</f>
        <v>#N/A</v>
      </c>
      <c r="AV27" s="107" t="e">
        <f ca="1">OFFSET('PERIOD 4'!$L$68,MATCH($A27,'PERIOD 4'!$B$69:$B$74,0),MATCH(AV$1,'PERIOD 4'!$M$3:$N$3,0))</f>
        <v>#N/A</v>
      </c>
      <c r="AW27" s="107" t="e">
        <f ca="1">OFFSET('PERIOD 4'!$L$68,MATCH($A27,'PERIOD 4'!$B$69:$B$74,0),MATCH(AW$1,'PERIOD 4'!$M$3:$N$3,0))</f>
        <v>#N/A</v>
      </c>
      <c r="AX27" s="107" t="e">
        <f ca="1">OFFSET('PERIOD 4'!$L$68,MATCH($A27,'PERIOD 4'!$B$69:$B$74,0),MATCH(AX$1,'PERIOD 4'!$M$3:$N$3,0))</f>
        <v>#N/A</v>
      </c>
    </row>
    <row r="28" spans="1:50" ht="10.199999999999999" outlineLevel="1" x14ac:dyDescent="0.2">
      <c r="A28" s="38" t="s">
        <v>40</v>
      </c>
      <c r="B28" s="38"/>
      <c r="C28" s="40" t="e">
        <f ca="1">SUM(C25:C27)</f>
        <v>#N/A</v>
      </c>
      <c r="D28" s="40" t="e">
        <f ca="1">SUM(D25:D27)</f>
        <v>#N/A</v>
      </c>
      <c r="E28" s="40" t="e">
        <f t="shared" ref="E28:W28" ca="1" si="6">SUM(E25:E27)</f>
        <v>#N/A</v>
      </c>
      <c r="F28" s="40" t="e">
        <f t="shared" ca="1" si="6"/>
        <v>#N/A</v>
      </c>
      <c r="G28" s="40" t="e">
        <f t="shared" ca="1" si="6"/>
        <v>#N/A</v>
      </c>
      <c r="H28" s="40" t="e">
        <f t="shared" ca="1" si="6"/>
        <v>#N/A</v>
      </c>
      <c r="I28" s="40" t="e">
        <f t="shared" ca="1" si="6"/>
        <v>#N/A</v>
      </c>
      <c r="J28" s="40" t="e">
        <f t="shared" ca="1" si="6"/>
        <v>#N/A</v>
      </c>
      <c r="K28" s="40" t="e">
        <f t="shared" ca="1" si="6"/>
        <v>#N/A</v>
      </c>
      <c r="L28" s="40" t="e">
        <f ca="1">SUM(L25:L27)</f>
        <v>#N/A</v>
      </c>
      <c r="M28" s="40" t="e">
        <f t="shared" ca="1" si="6"/>
        <v>#N/A</v>
      </c>
      <c r="N28" s="40" t="e">
        <f t="shared" ca="1" si="6"/>
        <v>#N/A</v>
      </c>
      <c r="O28" s="40" t="e">
        <f t="shared" ca="1" si="6"/>
        <v>#N/A</v>
      </c>
      <c r="P28" s="40" t="e">
        <f t="shared" ca="1" si="6"/>
        <v>#N/A</v>
      </c>
      <c r="Q28" s="40" t="e">
        <f t="shared" ca="1" si="6"/>
        <v>#N/A</v>
      </c>
      <c r="R28" s="40" t="e">
        <f t="shared" ca="1" si="6"/>
        <v>#N/A</v>
      </c>
      <c r="S28" s="40" t="e">
        <f ca="1">SUM(S25:S27)</f>
        <v>#N/A</v>
      </c>
      <c r="T28" s="40" t="e">
        <f ca="1">SUM(T25:T27)</f>
        <v>#N/A</v>
      </c>
      <c r="U28" s="40" t="e">
        <f ca="1">SUM(U25:U27)</f>
        <v>#N/A</v>
      </c>
      <c r="V28" s="40" t="e">
        <f t="shared" ca="1" si="6"/>
        <v>#N/A</v>
      </c>
      <c r="W28" s="40" t="e">
        <f t="shared" ca="1" si="6"/>
        <v>#N/A</v>
      </c>
      <c r="X28" s="40" t="e">
        <f ca="1">SUM(X25:X27)</f>
        <v>#N/A</v>
      </c>
      <c r="Y28" s="40" t="e">
        <f t="shared" ref="Y28:AX28" ca="1" si="7">SUM(Y25:Y27)</f>
        <v>#N/A</v>
      </c>
      <c r="Z28" s="40" t="e">
        <f t="shared" ca="1" si="7"/>
        <v>#N/A</v>
      </c>
      <c r="AA28" s="40" t="e">
        <f t="shared" ca="1" si="7"/>
        <v>#N/A</v>
      </c>
      <c r="AB28" s="40" t="e">
        <f t="shared" ca="1" si="7"/>
        <v>#N/A</v>
      </c>
      <c r="AC28" s="40" t="e">
        <f t="shared" ca="1" si="7"/>
        <v>#N/A</v>
      </c>
      <c r="AD28" s="40" t="e">
        <f t="shared" ca="1" si="7"/>
        <v>#N/A</v>
      </c>
      <c r="AE28" s="40" t="e">
        <f t="shared" ca="1" si="7"/>
        <v>#N/A</v>
      </c>
      <c r="AF28" s="40" t="e">
        <f t="shared" ca="1" si="7"/>
        <v>#N/A</v>
      </c>
      <c r="AG28" s="40" t="e">
        <f t="shared" ca="1" si="7"/>
        <v>#N/A</v>
      </c>
      <c r="AH28" s="40" t="e">
        <f t="shared" ca="1" si="7"/>
        <v>#N/A</v>
      </c>
      <c r="AI28" s="40" t="e">
        <f t="shared" ca="1" si="7"/>
        <v>#N/A</v>
      </c>
      <c r="AJ28" s="40" t="e">
        <f t="shared" ca="1" si="7"/>
        <v>#N/A</v>
      </c>
      <c r="AK28" s="40" t="e">
        <f t="shared" ca="1" si="7"/>
        <v>#N/A</v>
      </c>
      <c r="AL28" s="40" t="e">
        <f t="shared" ca="1" si="7"/>
        <v>#N/A</v>
      </c>
      <c r="AM28" s="40" t="e">
        <f t="shared" ca="1" si="7"/>
        <v>#N/A</v>
      </c>
      <c r="AN28" s="40" t="e">
        <f t="shared" ca="1" si="7"/>
        <v>#N/A</v>
      </c>
      <c r="AO28" s="40" t="e">
        <f t="shared" ca="1" si="7"/>
        <v>#N/A</v>
      </c>
      <c r="AP28" s="40" t="e">
        <f t="shared" ca="1" si="7"/>
        <v>#N/A</v>
      </c>
      <c r="AQ28" s="40" t="e">
        <f t="shared" ca="1" si="7"/>
        <v>#N/A</v>
      </c>
      <c r="AR28" s="40" t="e">
        <f t="shared" ca="1" si="7"/>
        <v>#N/A</v>
      </c>
      <c r="AS28" s="40" t="e">
        <f t="shared" ca="1" si="7"/>
        <v>#N/A</v>
      </c>
      <c r="AT28" s="40" t="e">
        <f t="shared" ca="1" si="7"/>
        <v>#N/A</v>
      </c>
      <c r="AU28" s="40" t="e">
        <f t="shared" ca="1" si="7"/>
        <v>#N/A</v>
      </c>
      <c r="AV28" s="40" t="e">
        <f t="shared" ca="1" si="7"/>
        <v>#N/A</v>
      </c>
      <c r="AW28" s="40" t="e">
        <f t="shared" ca="1" si="7"/>
        <v>#N/A</v>
      </c>
      <c r="AX28" s="40" t="e">
        <f t="shared" ca="1" si="7"/>
        <v>#N/A</v>
      </c>
    </row>
    <row r="29" spans="1:50" ht="10.199999999999999" outlineLevel="1" x14ac:dyDescent="0.2">
      <c r="C29" s="39"/>
      <c r="D29" s="107"/>
      <c r="E29" s="39"/>
      <c r="F29" s="107"/>
      <c r="G29" s="107"/>
      <c r="H29" s="107"/>
      <c r="I29" s="107"/>
      <c r="J29" s="107"/>
      <c r="K29" s="107"/>
      <c r="L29" s="107"/>
      <c r="M29" s="39"/>
      <c r="N29" s="39"/>
      <c r="O29" s="39"/>
      <c r="P29" s="107"/>
      <c r="Q29" s="39"/>
      <c r="R29" s="107"/>
      <c r="S29" s="107"/>
      <c r="T29" s="107"/>
      <c r="U29" s="39"/>
      <c r="V29" s="107"/>
      <c r="W29" s="107"/>
      <c r="Y29" s="34"/>
    </row>
    <row r="30" spans="1:50" ht="10.199999999999999" outlineLevel="1" x14ac:dyDescent="0.2">
      <c r="A30" s="38" t="s">
        <v>45</v>
      </c>
      <c r="B30" s="38"/>
      <c r="C30" s="108"/>
      <c r="D30" s="107"/>
      <c r="E30" s="39"/>
      <c r="F30" s="107"/>
      <c r="G30" s="107"/>
      <c r="H30" s="107"/>
      <c r="I30" s="107"/>
      <c r="J30" s="107"/>
      <c r="K30" s="39"/>
      <c r="L30" s="107"/>
      <c r="M30" s="107"/>
      <c r="N30" s="39"/>
      <c r="O30" s="39"/>
      <c r="P30" s="39"/>
      <c r="Q30" s="107"/>
      <c r="R30" s="39"/>
      <c r="S30" s="107"/>
      <c r="T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</row>
    <row r="31" spans="1:50" ht="10.199999999999999" outlineLevel="1" x14ac:dyDescent="0.2">
      <c r="A31" s="34" t="s">
        <v>10</v>
      </c>
      <c r="C31" s="107" t="e">
        <f ca="1">OFFSET('PERIOD 5'!$K$61,MATCH($A31,'PERIOD 5'!$A$62:$A$67,0),MATCH(C$1,'PERIOD 5'!$L$3:$N$3,0))</f>
        <v>#N/A</v>
      </c>
      <c r="D31" s="107" t="e">
        <f ca="1">OFFSET('PERIOD 5'!$K$61,MATCH($A31,'PERIOD 5'!$A$62:$A$67,0),MATCH(D$1,'PERIOD 5'!$L$3:$N$3,0))</f>
        <v>#N/A</v>
      </c>
      <c r="E31" s="107" t="e">
        <f ca="1">OFFSET('PERIOD 5'!$K$61,MATCH($A31,'PERIOD 5'!$A$62:$A$67,0),MATCH(E$1,'PERIOD 5'!$L$3:$N$3,0))</f>
        <v>#N/A</v>
      </c>
      <c r="F31" s="107" t="e">
        <f ca="1">OFFSET('PERIOD 5'!$K$61,MATCH($A31,'PERIOD 5'!$A$62:$A$67,0),MATCH(F$1,'PERIOD 5'!$L$3:$N$3,0))</f>
        <v>#N/A</v>
      </c>
      <c r="G31" s="107" t="e">
        <f ca="1">OFFSET('PERIOD 5'!$K$61,MATCH($A31,'PERIOD 5'!$A$62:$A$67,0),MATCH(G$1,'PERIOD 5'!$L$3:$N$3,0))</f>
        <v>#N/A</v>
      </c>
      <c r="H31" s="107" t="e">
        <f ca="1">OFFSET('PERIOD 5'!$K$61,MATCH($A31,'PERIOD 5'!$A$62:$A$67,0),MATCH(H$1,'PERIOD 5'!$L$3:$N$3,0))</f>
        <v>#N/A</v>
      </c>
      <c r="I31" s="107" t="e">
        <f ca="1">OFFSET('PERIOD 5'!$K$61,MATCH($A31,'PERIOD 5'!$A$62:$A$67,0),MATCH(I$1,'PERIOD 5'!$L$3:$N$3,0))</f>
        <v>#N/A</v>
      </c>
      <c r="J31" s="107" t="e">
        <f ca="1">OFFSET('PERIOD 5'!$K$61,MATCH($A31,'PERIOD 5'!$A$62:$A$67,0),MATCH(J$1,'PERIOD 5'!$L$3:$N$3,0))</f>
        <v>#N/A</v>
      </c>
      <c r="K31" s="107" t="e">
        <f ca="1">OFFSET('PERIOD 5'!$K$61,MATCH($A31,'PERIOD 5'!$A$62:$A$67,0),MATCH(K$1,'PERIOD 5'!$L$3:$N$3,0))</f>
        <v>#N/A</v>
      </c>
      <c r="L31" s="107" t="e">
        <f ca="1">OFFSET('PERIOD 5'!$K$61,MATCH($A31,'PERIOD 5'!$A$62:$A$67,0),MATCH(L$1,'PERIOD 5'!$L$3:$N$3,0))</f>
        <v>#N/A</v>
      </c>
      <c r="M31" s="107" t="e">
        <f ca="1">OFFSET('PERIOD 5'!$K$61,MATCH($A31,'PERIOD 5'!$A$62:$A$67,0),MATCH(M$1,'PERIOD 5'!$L$3:$N$3,0))</f>
        <v>#N/A</v>
      </c>
      <c r="N31" s="107" t="e">
        <f ca="1">OFFSET('PERIOD 5'!$K$61,MATCH($A31,'PERIOD 5'!$A$62:$A$67,0),MATCH(N$1,'PERIOD 5'!$L$3:$N$3,0))</f>
        <v>#N/A</v>
      </c>
      <c r="O31" s="107" t="e">
        <f ca="1">OFFSET('PERIOD 5'!$K$61,MATCH($A31,'PERIOD 5'!$A$62:$A$67,0),MATCH(O$1,'PERIOD 5'!$L$3:$N$3,0))</f>
        <v>#N/A</v>
      </c>
      <c r="P31" s="107" t="e">
        <f ca="1">OFFSET('PERIOD 5'!$K$61,MATCH($A31,'PERIOD 5'!$A$62:$A$67,0),MATCH(P$1,'PERIOD 5'!$L$3:$N$3,0))</f>
        <v>#N/A</v>
      </c>
      <c r="Q31" s="107" t="e">
        <f ca="1">OFFSET('PERIOD 5'!$K$61,MATCH($A31,'PERIOD 5'!$A$62:$A$67,0),MATCH(Q$1,'PERIOD 5'!$L$3:$N$3,0))</f>
        <v>#N/A</v>
      </c>
      <c r="R31" s="107" t="e">
        <f ca="1">OFFSET('PERIOD 5'!$K$61,MATCH($A31,'PERIOD 5'!$A$62:$A$67,0),MATCH(R$1,'PERIOD 5'!$L$3:$N$3,0))</f>
        <v>#N/A</v>
      </c>
      <c r="S31" s="107" t="e">
        <f ca="1">OFFSET('PERIOD 5'!$K$61,MATCH($A31,'PERIOD 5'!$A$62:$A$67,0),MATCH(S$1,'PERIOD 5'!$L$3:$N$3,0))</f>
        <v>#N/A</v>
      </c>
      <c r="T31" s="107" t="e">
        <f ca="1">OFFSET('PERIOD 5'!$K$61,MATCH($A31,'PERIOD 5'!$A$62:$A$67,0),MATCH(T$1,'PERIOD 5'!$L$3:$N$3,0))</f>
        <v>#N/A</v>
      </c>
      <c r="U31" s="107" t="e">
        <f ca="1">OFFSET('PERIOD 5'!$K$61,MATCH($A31,'PERIOD 5'!$A$62:$A$67,0),MATCH(U$1,'PERIOD 5'!$L$3:$N$3,0))</f>
        <v>#N/A</v>
      </c>
      <c r="V31" s="107" t="e">
        <f ca="1">OFFSET('PERIOD 5'!$K$61,MATCH($A31,'PERIOD 5'!$A$62:$A$67,0),MATCH(V$1,'PERIOD 5'!$L$3:$N$3,0))</f>
        <v>#N/A</v>
      </c>
      <c r="W31" s="107" t="e">
        <f ca="1">OFFSET('PERIOD 5'!$K$61,MATCH($A31,'PERIOD 5'!$A$62:$A$67,0),MATCH(W$1,'PERIOD 5'!$L$3:$N$3,0))</f>
        <v>#N/A</v>
      </c>
      <c r="X31" s="107" t="e">
        <f ca="1">OFFSET('PERIOD 5'!$K$61,MATCH($A31,'PERIOD 5'!$A$62:$A$67,0),MATCH(X$1,'PERIOD 5'!$L$3:$N$3,0))</f>
        <v>#N/A</v>
      </c>
      <c r="Y31" s="107" t="e">
        <f ca="1">OFFSET('PERIOD 5'!$K$61,MATCH($A31,'PERIOD 5'!$A$62:$A$67,0),MATCH(Y$1,'PERIOD 5'!$L$3:$N$3,0))</f>
        <v>#N/A</v>
      </c>
      <c r="Z31" s="107" t="e">
        <f ca="1">OFFSET('PERIOD 5'!$K$61,MATCH($A31,'PERIOD 5'!$A$62:$A$67,0),MATCH(Z$1,'PERIOD 5'!$L$3:$N$3,0))</f>
        <v>#N/A</v>
      </c>
      <c r="AA31" s="107" t="e">
        <f ca="1">OFFSET('PERIOD 5'!$K$61,MATCH($A31,'PERIOD 5'!$A$62:$A$67,0),MATCH(AA$1,'PERIOD 5'!$L$3:$N$3,0))</f>
        <v>#N/A</v>
      </c>
      <c r="AB31" s="107" t="e">
        <f ca="1">OFFSET('PERIOD 5'!$K$61,MATCH($A31,'PERIOD 5'!$A$62:$A$67,0),MATCH(AB$1,'PERIOD 5'!$L$3:$N$3,0))</f>
        <v>#N/A</v>
      </c>
      <c r="AC31" s="107" t="e">
        <f ca="1">OFFSET('PERIOD 5'!$K$61,MATCH($A31,'PERIOD 5'!$A$62:$A$67,0),MATCH(AC$1,'PERIOD 5'!$L$3:$N$3,0))</f>
        <v>#N/A</v>
      </c>
      <c r="AD31" s="107" t="e">
        <f ca="1">OFFSET('PERIOD 5'!$K$61,MATCH($A31,'PERIOD 5'!$A$62:$A$67,0),MATCH(AD$1,'PERIOD 5'!$L$3:$N$3,0))</f>
        <v>#N/A</v>
      </c>
      <c r="AE31" s="107" t="e">
        <f ca="1">OFFSET('PERIOD 5'!$K$61,MATCH($A31,'PERIOD 5'!$A$62:$A$67,0),MATCH(AE$1,'PERIOD 5'!$L$3:$N$3,0))</f>
        <v>#N/A</v>
      </c>
      <c r="AF31" s="107" t="e">
        <f ca="1">OFFSET('PERIOD 5'!$K$61,MATCH($A31,'PERIOD 5'!$A$62:$A$67,0),MATCH(AF$1,'PERIOD 5'!$L$3:$N$3,0))</f>
        <v>#N/A</v>
      </c>
      <c r="AG31" s="107" t="e">
        <f ca="1">OFFSET('PERIOD 5'!$K$61,MATCH($A31,'PERIOD 5'!$A$62:$A$67,0),MATCH(AG$1,'PERIOD 5'!$L$3:$N$3,0))</f>
        <v>#N/A</v>
      </c>
      <c r="AH31" s="107" t="e">
        <f ca="1">OFFSET('PERIOD 5'!$K$61,MATCH($A31,'PERIOD 5'!$A$62:$A$67,0),MATCH(AH$1,'PERIOD 5'!$L$3:$N$3,0))</f>
        <v>#N/A</v>
      </c>
      <c r="AI31" s="107" t="e">
        <f ca="1">OFFSET('PERIOD 5'!$K$61,MATCH($A31,'PERIOD 5'!$A$62:$A$67,0),MATCH(AI$1,'PERIOD 5'!$L$3:$N$3,0))</f>
        <v>#N/A</v>
      </c>
      <c r="AJ31" s="107" t="e">
        <f ca="1">OFFSET('PERIOD 5'!$K$61,MATCH($A31,'PERIOD 5'!$A$62:$A$67,0),MATCH(AJ$1,'PERIOD 5'!$L$3:$N$3,0))</f>
        <v>#N/A</v>
      </c>
      <c r="AK31" s="107" t="e">
        <f ca="1">OFFSET('PERIOD 5'!$K$61,MATCH($A31,'PERIOD 5'!$A$62:$A$67,0),MATCH(AK$1,'PERIOD 5'!$L$3:$N$3,0))</f>
        <v>#N/A</v>
      </c>
      <c r="AL31" s="107" t="e">
        <f ca="1">OFFSET('PERIOD 5'!$K$61,MATCH($A31,'PERIOD 5'!$A$62:$A$67,0),MATCH(AL$1,'PERIOD 5'!$L$3:$N$3,0))</f>
        <v>#N/A</v>
      </c>
      <c r="AM31" s="107" t="e">
        <f ca="1">OFFSET('PERIOD 5'!$K$61,MATCH($A31,'PERIOD 5'!$A$62:$A$67,0),MATCH(AM$1,'PERIOD 5'!$L$3:$N$3,0))</f>
        <v>#N/A</v>
      </c>
      <c r="AN31" s="107" t="e">
        <f ca="1">OFFSET('PERIOD 5'!$K$61,MATCH($A31,'PERIOD 5'!$A$62:$A$67,0),MATCH(AN$1,'PERIOD 5'!$L$3:$N$3,0))</f>
        <v>#N/A</v>
      </c>
      <c r="AO31" s="107" t="e">
        <f ca="1">OFFSET('PERIOD 5'!$K$61,MATCH($A31,'PERIOD 5'!$A$62:$A$67,0),MATCH(AO$1,'PERIOD 5'!$L$3:$N$3,0))</f>
        <v>#N/A</v>
      </c>
      <c r="AP31" s="107" t="e">
        <f ca="1">OFFSET('PERIOD 5'!$K$61,MATCH($A31,'PERIOD 5'!$A$62:$A$67,0),MATCH(AP$1,'PERIOD 5'!$L$3:$N$3,0))</f>
        <v>#N/A</v>
      </c>
      <c r="AQ31" s="107" t="e">
        <f ca="1">OFFSET('PERIOD 5'!$K$61,MATCH($A31,'PERIOD 5'!$A$62:$A$67,0),MATCH(AQ$1,'PERIOD 5'!$L$3:$N$3,0))</f>
        <v>#N/A</v>
      </c>
      <c r="AR31" s="107" t="e">
        <f ca="1">OFFSET('PERIOD 5'!$K$61,MATCH($A31,'PERIOD 5'!$A$62:$A$67,0),MATCH(AR$1,'PERIOD 5'!$L$3:$N$3,0))</f>
        <v>#N/A</v>
      </c>
      <c r="AS31" s="107" t="e">
        <f ca="1">OFFSET('PERIOD 5'!$K$61,MATCH($A31,'PERIOD 5'!$A$62:$A$67,0),MATCH(AS$1,'PERIOD 5'!$L$3:$N$3,0))</f>
        <v>#N/A</v>
      </c>
      <c r="AT31" s="107" t="e">
        <f ca="1">OFFSET('PERIOD 5'!$K$61,MATCH($A31,'PERIOD 5'!$A$62:$A$67,0),MATCH(AT$1,'PERIOD 5'!$L$3:$N$3,0))</f>
        <v>#N/A</v>
      </c>
      <c r="AU31" s="107" t="e">
        <f ca="1">OFFSET('PERIOD 5'!$K$61,MATCH($A31,'PERIOD 5'!$A$62:$A$67,0),MATCH(AU$1,'PERIOD 5'!$L$3:$N$3,0))</f>
        <v>#N/A</v>
      </c>
      <c r="AV31" s="107" t="e">
        <f ca="1">OFFSET('PERIOD 5'!$K$61,MATCH($A31,'PERIOD 5'!$A$62:$A$67,0),MATCH(AV$1,'PERIOD 5'!$L$3:$N$3,0))</f>
        <v>#N/A</v>
      </c>
      <c r="AW31" s="107" t="e">
        <f ca="1">OFFSET('PERIOD 5'!$K$61,MATCH($A31,'PERIOD 5'!$A$62:$A$67,0),MATCH(AW$1,'PERIOD 5'!$L$3:$N$3,0))</f>
        <v>#N/A</v>
      </c>
      <c r="AX31" s="107" t="e">
        <f ca="1">OFFSET('PERIOD 5'!$K$61,MATCH($A31,'PERIOD 5'!$A$62:$A$67,0),MATCH(AX$1,'PERIOD 5'!$L$3:$N$3,0))</f>
        <v>#N/A</v>
      </c>
    </row>
    <row r="32" spans="1:50" ht="10.199999999999999" outlineLevel="1" x14ac:dyDescent="0.2">
      <c r="A32" s="34" t="s">
        <v>39</v>
      </c>
      <c r="C32" s="107" t="e">
        <f ca="1">OFFSET('PERIOD 5'!$K$61,MATCH($A32,'PERIOD 5'!$A$62:$A$67,0),MATCH(C$1,'PERIOD 5'!$L$3:$N$3,0))</f>
        <v>#N/A</v>
      </c>
      <c r="D32" s="107" t="e">
        <f ca="1">OFFSET('PERIOD 5'!$K$61,MATCH($A32,'PERIOD 5'!$A$62:$A$67,0),MATCH(D$1,'PERIOD 5'!$L$3:$N$3,0))</f>
        <v>#N/A</v>
      </c>
      <c r="E32" s="107" t="e">
        <f ca="1">OFFSET('PERIOD 5'!$K$61,MATCH($A32,'PERIOD 5'!$A$62:$A$67,0),MATCH(E$1,'PERIOD 5'!$L$3:$N$3,0))</f>
        <v>#N/A</v>
      </c>
      <c r="F32" s="107" t="e">
        <f ca="1">OFFSET('PERIOD 5'!$K$61,MATCH($A32,'PERIOD 5'!$A$62:$A$67,0),MATCH(F$1,'PERIOD 5'!$L$3:$N$3,0))</f>
        <v>#N/A</v>
      </c>
      <c r="G32" s="107" t="e">
        <f ca="1">OFFSET('PERIOD 5'!$K$61,MATCH($A32,'PERIOD 5'!$A$62:$A$67,0),MATCH(G$1,'PERIOD 5'!$L$3:$N$3,0))</f>
        <v>#N/A</v>
      </c>
      <c r="H32" s="107" t="e">
        <f ca="1">OFFSET('PERIOD 5'!$K$61,MATCH($A32,'PERIOD 5'!$A$62:$A$67,0),MATCH(H$1,'PERIOD 5'!$L$3:$N$3,0))</f>
        <v>#N/A</v>
      </c>
      <c r="I32" s="107" t="e">
        <f ca="1">OFFSET('PERIOD 5'!$K$61,MATCH($A32,'PERIOD 5'!$A$62:$A$67,0),MATCH(I$1,'PERIOD 5'!$L$3:$N$3,0))</f>
        <v>#N/A</v>
      </c>
      <c r="J32" s="107" t="e">
        <f ca="1">OFFSET('PERIOD 5'!$K$61,MATCH($A32,'PERIOD 5'!$A$62:$A$67,0),MATCH(J$1,'PERIOD 5'!$L$3:$N$3,0))</f>
        <v>#N/A</v>
      </c>
      <c r="K32" s="107" t="e">
        <f ca="1">OFFSET('PERIOD 5'!$K$61,MATCH($A32,'PERIOD 5'!$A$62:$A$67,0),MATCH(K$1,'PERIOD 5'!$L$3:$N$3,0))</f>
        <v>#N/A</v>
      </c>
      <c r="L32" s="107" t="e">
        <f ca="1">OFFSET('PERIOD 5'!$K$61,MATCH($A32,'PERIOD 5'!$A$62:$A$67,0),MATCH(L$1,'PERIOD 5'!$L$3:$N$3,0))</f>
        <v>#N/A</v>
      </c>
      <c r="M32" s="107" t="e">
        <f ca="1">OFFSET('PERIOD 5'!$K$61,MATCH($A32,'PERIOD 5'!$A$62:$A$67,0),MATCH(M$1,'PERIOD 5'!$L$3:$N$3,0))</f>
        <v>#N/A</v>
      </c>
      <c r="N32" s="107" t="e">
        <f ca="1">OFFSET('PERIOD 5'!$K$61,MATCH($A32,'PERIOD 5'!$A$62:$A$67,0),MATCH(N$1,'PERIOD 5'!$L$3:$N$3,0))</f>
        <v>#N/A</v>
      </c>
      <c r="O32" s="107" t="e">
        <f ca="1">OFFSET('PERIOD 5'!$K$61,MATCH($A32,'PERIOD 5'!$A$62:$A$67,0),MATCH(O$1,'PERIOD 5'!$L$3:$N$3,0))</f>
        <v>#N/A</v>
      </c>
      <c r="P32" s="107" t="e">
        <f ca="1">OFFSET('PERIOD 5'!$K$61,MATCH($A32,'PERIOD 5'!$A$62:$A$67,0),MATCH(P$1,'PERIOD 5'!$L$3:$N$3,0))</f>
        <v>#N/A</v>
      </c>
      <c r="Q32" s="107" t="e">
        <f ca="1">OFFSET('PERIOD 5'!$K$61,MATCH($A32,'PERIOD 5'!$A$62:$A$67,0),MATCH(Q$1,'PERIOD 5'!$L$3:$N$3,0))</f>
        <v>#N/A</v>
      </c>
      <c r="R32" s="107" t="e">
        <f ca="1">OFFSET('PERIOD 5'!$K$61,MATCH($A32,'PERIOD 5'!$A$62:$A$67,0),MATCH(R$1,'PERIOD 5'!$L$3:$N$3,0))</f>
        <v>#N/A</v>
      </c>
      <c r="S32" s="107" t="e">
        <f ca="1">OFFSET('PERIOD 5'!$K$61,MATCH($A32,'PERIOD 5'!$A$62:$A$67,0),MATCH(S$1,'PERIOD 5'!$L$3:$N$3,0))</f>
        <v>#N/A</v>
      </c>
      <c r="T32" s="107" t="e">
        <f ca="1">OFFSET('PERIOD 5'!$K$61,MATCH($A32,'PERIOD 5'!$A$62:$A$67,0),MATCH(T$1,'PERIOD 5'!$L$3:$N$3,0))</f>
        <v>#N/A</v>
      </c>
      <c r="U32" s="107" t="e">
        <f ca="1">OFFSET('PERIOD 5'!$K$61,MATCH($A32,'PERIOD 5'!$A$62:$A$67,0),MATCH(U$1,'PERIOD 5'!$L$3:$N$3,0))</f>
        <v>#N/A</v>
      </c>
      <c r="V32" s="107" t="e">
        <f ca="1">OFFSET('PERIOD 5'!$K$61,MATCH($A32,'PERIOD 5'!$A$62:$A$67,0),MATCH(V$1,'PERIOD 5'!$L$3:$N$3,0))</f>
        <v>#N/A</v>
      </c>
      <c r="W32" s="107" t="e">
        <f ca="1">OFFSET('PERIOD 5'!$K$61,MATCH($A32,'PERIOD 5'!$A$62:$A$67,0),MATCH(W$1,'PERIOD 5'!$L$3:$N$3,0))</f>
        <v>#N/A</v>
      </c>
      <c r="X32" s="107" t="e">
        <f ca="1">OFFSET('PERIOD 5'!$K$61,MATCH($A32,'PERIOD 5'!$A$62:$A$67,0),MATCH(X$1,'PERIOD 5'!$L$3:$N$3,0))</f>
        <v>#N/A</v>
      </c>
      <c r="Y32" s="107" t="e">
        <f ca="1">OFFSET('PERIOD 5'!$K$61,MATCH($A32,'PERIOD 5'!$A$62:$A$67,0),MATCH(Y$1,'PERIOD 5'!$L$3:$N$3,0))</f>
        <v>#N/A</v>
      </c>
      <c r="Z32" s="107" t="e">
        <f ca="1">OFFSET('PERIOD 5'!$K$61,MATCH($A32,'PERIOD 5'!$A$62:$A$67,0),MATCH(Z$1,'PERIOD 5'!$L$3:$N$3,0))</f>
        <v>#N/A</v>
      </c>
      <c r="AA32" s="107" t="e">
        <f ca="1">OFFSET('PERIOD 5'!$K$61,MATCH($A32,'PERIOD 5'!$A$62:$A$67,0),MATCH(AA$1,'PERIOD 5'!$L$3:$N$3,0))</f>
        <v>#N/A</v>
      </c>
      <c r="AB32" s="107" t="e">
        <f ca="1">OFFSET('PERIOD 5'!$K$61,MATCH($A32,'PERIOD 5'!$A$62:$A$67,0),MATCH(AB$1,'PERIOD 5'!$L$3:$N$3,0))</f>
        <v>#N/A</v>
      </c>
      <c r="AC32" s="107" t="e">
        <f ca="1">OFFSET('PERIOD 5'!$K$61,MATCH($A32,'PERIOD 5'!$A$62:$A$67,0),MATCH(AC$1,'PERIOD 5'!$L$3:$N$3,0))</f>
        <v>#N/A</v>
      </c>
      <c r="AD32" s="107" t="e">
        <f ca="1">OFFSET('PERIOD 5'!$K$61,MATCH($A32,'PERIOD 5'!$A$62:$A$67,0),MATCH(AD$1,'PERIOD 5'!$L$3:$N$3,0))</f>
        <v>#N/A</v>
      </c>
      <c r="AE32" s="107" t="e">
        <f ca="1">OFFSET('PERIOD 5'!$K$61,MATCH($A32,'PERIOD 5'!$A$62:$A$67,0),MATCH(AE$1,'PERIOD 5'!$L$3:$N$3,0))</f>
        <v>#N/A</v>
      </c>
      <c r="AF32" s="107" t="e">
        <f ca="1">OFFSET('PERIOD 5'!$K$61,MATCH($A32,'PERIOD 5'!$A$62:$A$67,0),MATCH(AF$1,'PERIOD 5'!$L$3:$N$3,0))</f>
        <v>#N/A</v>
      </c>
      <c r="AG32" s="107" t="e">
        <f ca="1">OFFSET('PERIOD 5'!$K$61,MATCH($A32,'PERIOD 5'!$A$62:$A$67,0),MATCH(AG$1,'PERIOD 5'!$L$3:$N$3,0))</f>
        <v>#N/A</v>
      </c>
      <c r="AH32" s="107" t="e">
        <f ca="1">OFFSET('PERIOD 5'!$K$61,MATCH($A32,'PERIOD 5'!$A$62:$A$67,0),MATCH(AH$1,'PERIOD 5'!$L$3:$N$3,0))</f>
        <v>#N/A</v>
      </c>
      <c r="AI32" s="107" t="e">
        <f ca="1">OFFSET('PERIOD 5'!$K$61,MATCH($A32,'PERIOD 5'!$A$62:$A$67,0),MATCH(AI$1,'PERIOD 5'!$L$3:$N$3,0))</f>
        <v>#N/A</v>
      </c>
      <c r="AJ32" s="107" t="e">
        <f ca="1">OFFSET('PERIOD 5'!$K$61,MATCH($A32,'PERIOD 5'!$A$62:$A$67,0),MATCH(AJ$1,'PERIOD 5'!$L$3:$N$3,0))</f>
        <v>#N/A</v>
      </c>
      <c r="AK32" s="107" t="e">
        <f ca="1">OFFSET('PERIOD 5'!$K$61,MATCH($A32,'PERIOD 5'!$A$62:$A$67,0),MATCH(AK$1,'PERIOD 5'!$L$3:$N$3,0))</f>
        <v>#N/A</v>
      </c>
      <c r="AL32" s="107" t="e">
        <f ca="1">OFFSET('PERIOD 5'!$K$61,MATCH($A32,'PERIOD 5'!$A$62:$A$67,0),MATCH(AL$1,'PERIOD 5'!$L$3:$N$3,0))</f>
        <v>#N/A</v>
      </c>
      <c r="AM32" s="107" t="e">
        <f ca="1">OFFSET('PERIOD 5'!$K$61,MATCH($A32,'PERIOD 5'!$A$62:$A$67,0),MATCH(AM$1,'PERIOD 5'!$L$3:$N$3,0))</f>
        <v>#N/A</v>
      </c>
      <c r="AN32" s="107" t="e">
        <f ca="1">OFFSET('PERIOD 5'!$K$61,MATCH($A32,'PERIOD 5'!$A$62:$A$67,0),MATCH(AN$1,'PERIOD 5'!$L$3:$N$3,0))</f>
        <v>#N/A</v>
      </c>
      <c r="AO32" s="107" t="e">
        <f ca="1">OFFSET('PERIOD 5'!$K$61,MATCH($A32,'PERIOD 5'!$A$62:$A$67,0),MATCH(AO$1,'PERIOD 5'!$L$3:$N$3,0))</f>
        <v>#N/A</v>
      </c>
      <c r="AP32" s="107" t="e">
        <f ca="1">OFFSET('PERIOD 5'!$K$61,MATCH($A32,'PERIOD 5'!$A$62:$A$67,0),MATCH(AP$1,'PERIOD 5'!$L$3:$N$3,0))</f>
        <v>#N/A</v>
      </c>
      <c r="AQ32" s="107" t="e">
        <f ca="1">OFFSET('PERIOD 5'!$K$61,MATCH($A32,'PERIOD 5'!$A$62:$A$67,0),MATCH(AQ$1,'PERIOD 5'!$L$3:$N$3,0))</f>
        <v>#N/A</v>
      </c>
      <c r="AR32" s="107" t="e">
        <f ca="1">OFFSET('PERIOD 5'!$K$61,MATCH($A32,'PERIOD 5'!$A$62:$A$67,0),MATCH(AR$1,'PERIOD 5'!$L$3:$N$3,0))</f>
        <v>#N/A</v>
      </c>
      <c r="AS32" s="107" t="e">
        <f ca="1">OFFSET('PERIOD 5'!$K$61,MATCH($A32,'PERIOD 5'!$A$62:$A$67,0),MATCH(AS$1,'PERIOD 5'!$L$3:$N$3,0))</f>
        <v>#N/A</v>
      </c>
      <c r="AT32" s="107" t="e">
        <f ca="1">OFFSET('PERIOD 5'!$K$61,MATCH($A32,'PERIOD 5'!$A$62:$A$67,0),MATCH(AT$1,'PERIOD 5'!$L$3:$N$3,0))</f>
        <v>#N/A</v>
      </c>
      <c r="AU32" s="107" t="e">
        <f ca="1">OFFSET('PERIOD 5'!$K$61,MATCH($A32,'PERIOD 5'!$A$62:$A$67,0),MATCH(AU$1,'PERIOD 5'!$L$3:$N$3,0))</f>
        <v>#N/A</v>
      </c>
      <c r="AV32" s="107" t="e">
        <f ca="1">OFFSET('PERIOD 5'!$K$61,MATCH($A32,'PERIOD 5'!$A$62:$A$67,0),MATCH(AV$1,'PERIOD 5'!$L$3:$N$3,0))</f>
        <v>#N/A</v>
      </c>
      <c r="AW32" s="107" t="e">
        <f ca="1">OFFSET('PERIOD 5'!$K$61,MATCH($A32,'PERIOD 5'!$A$62:$A$67,0),MATCH(AW$1,'PERIOD 5'!$L$3:$N$3,0))</f>
        <v>#N/A</v>
      </c>
      <c r="AX32" s="107" t="e">
        <f ca="1">OFFSET('PERIOD 5'!$K$61,MATCH($A32,'PERIOD 5'!$A$62:$A$67,0),MATCH(AX$1,'PERIOD 5'!$L$3:$N$3,0))</f>
        <v>#N/A</v>
      </c>
    </row>
    <row r="33" spans="1:50" ht="10.199999999999999" outlineLevel="1" x14ac:dyDescent="0.2">
      <c r="A33" s="34" t="s">
        <v>54</v>
      </c>
      <c r="C33" s="107" t="e">
        <f ca="1">OFFSET('PERIOD 5'!$K$61,MATCH($A33,'PERIOD 5'!$A$62:$A$67,0),MATCH(C$1,'PERIOD 5'!$L$3:$N$3,0))</f>
        <v>#N/A</v>
      </c>
      <c r="D33" s="107" t="e">
        <f ca="1">OFFSET('PERIOD 5'!$K$61,MATCH($A33,'PERIOD 5'!$A$62:$A$67,0),MATCH(D$1,'PERIOD 5'!$L$3:$N$3,0))</f>
        <v>#N/A</v>
      </c>
      <c r="E33" s="107" t="e">
        <f ca="1">OFFSET('PERIOD 5'!$K$61,MATCH($A33,'PERIOD 5'!$A$62:$A$67,0),MATCH(E$1,'PERIOD 5'!$L$3:$N$3,0))</f>
        <v>#N/A</v>
      </c>
      <c r="F33" s="107" t="e">
        <f ca="1">OFFSET('PERIOD 5'!$K$61,MATCH($A33,'PERIOD 5'!$A$62:$A$67,0),MATCH(F$1,'PERIOD 5'!$L$3:$N$3,0))</f>
        <v>#N/A</v>
      </c>
      <c r="G33" s="107" t="e">
        <f ca="1">OFFSET('PERIOD 5'!$K$61,MATCH($A33,'PERIOD 5'!$A$62:$A$67,0),MATCH(G$1,'PERIOD 5'!$L$3:$N$3,0))</f>
        <v>#N/A</v>
      </c>
      <c r="H33" s="107" t="e">
        <f ca="1">OFFSET('PERIOD 5'!$K$61,MATCH($A33,'PERIOD 5'!$A$62:$A$67,0),MATCH(H$1,'PERIOD 5'!$L$3:$N$3,0))</f>
        <v>#N/A</v>
      </c>
      <c r="I33" s="107" t="e">
        <f ca="1">OFFSET('PERIOD 5'!$K$61,MATCH($A33,'PERIOD 5'!$A$62:$A$67,0),MATCH(I$1,'PERIOD 5'!$L$3:$N$3,0))</f>
        <v>#N/A</v>
      </c>
      <c r="J33" s="107" t="e">
        <f ca="1">OFFSET('PERIOD 5'!$K$61,MATCH($A33,'PERIOD 5'!$A$62:$A$67,0),MATCH(J$1,'PERIOD 5'!$L$3:$N$3,0))</f>
        <v>#N/A</v>
      </c>
      <c r="K33" s="107" t="e">
        <f ca="1">OFFSET('PERIOD 5'!$K$61,MATCH($A33,'PERIOD 5'!$A$62:$A$67,0),MATCH(K$1,'PERIOD 5'!$L$3:$N$3,0))</f>
        <v>#N/A</v>
      </c>
      <c r="L33" s="107" t="e">
        <f ca="1">OFFSET('PERIOD 5'!$K$61,MATCH($A33,'PERIOD 5'!$A$62:$A$67,0),MATCH(L$1,'PERIOD 5'!$L$3:$N$3,0))</f>
        <v>#N/A</v>
      </c>
      <c r="M33" s="107" t="e">
        <f ca="1">OFFSET('PERIOD 5'!$K$61,MATCH($A33,'PERIOD 5'!$A$62:$A$67,0),MATCH(M$1,'PERIOD 5'!$L$3:$N$3,0))</f>
        <v>#N/A</v>
      </c>
      <c r="N33" s="107" t="e">
        <f ca="1">OFFSET('PERIOD 5'!$K$61,MATCH($A33,'PERIOD 5'!$A$62:$A$67,0),MATCH(N$1,'PERIOD 5'!$L$3:$N$3,0))</f>
        <v>#N/A</v>
      </c>
      <c r="O33" s="107" t="e">
        <f ca="1">OFFSET('PERIOD 5'!$K$61,MATCH($A33,'PERIOD 5'!$A$62:$A$67,0),MATCH(O$1,'PERIOD 5'!$L$3:$N$3,0))</f>
        <v>#N/A</v>
      </c>
      <c r="P33" s="107" t="e">
        <f ca="1">OFFSET('PERIOD 5'!$K$61,MATCH($A33,'PERIOD 5'!$A$62:$A$67,0),MATCH(P$1,'PERIOD 5'!$L$3:$N$3,0))</f>
        <v>#N/A</v>
      </c>
      <c r="Q33" s="107" t="e">
        <f ca="1">OFFSET('PERIOD 5'!$K$61,MATCH($A33,'PERIOD 5'!$A$62:$A$67,0),MATCH(Q$1,'PERIOD 5'!$L$3:$N$3,0))</f>
        <v>#N/A</v>
      </c>
      <c r="R33" s="107" t="e">
        <f ca="1">OFFSET('PERIOD 5'!$K$61,MATCH($A33,'PERIOD 5'!$A$62:$A$67,0),MATCH(R$1,'PERIOD 5'!$L$3:$N$3,0))</f>
        <v>#N/A</v>
      </c>
      <c r="S33" s="107" t="e">
        <f ca="1">OFFSET('PERIOD 5'!$K$61,MATCH($A33,'PERIOD 5'!$A$62:$A$67,0),MATCH(S$1,'PERIOD 5'!$L$3:$N$3,0))</f>
        <v>#N/A</v>
      </c>
      <c r="T33" s="107" t="e">
        <f ca="1">OFFSET('PERIOD 5'!$K$61,MATCH($A33,'PERIOD 5'!$A$62:$A$67,0),MATCH(T$1,'PERIOD 5'!$L$3:$N$3,0))</f>
        <v>#N/A</v>
      </c>
      <c r="U33" s="107" t="e">
        <f ca="1">OFFSET('PERIOD 5'!$K$61,MATCH($A33,'PERIOD 5'!$A$62:$A$67,0),MATCH(U$1,'PERIOD 5'!$L$3:$N$3,0))</f>
        <v>#N/A</v>
      </c>
      <c r="V33" s="107" t="e">
        <f ca="1">OFFSET('PERIOD 5'!$K$61,MATCH($A33,'PERIOD 5'!$A$62:$A$67,0),MATCH(V$1,'PERIOD 5'!$L$3:$N$3,0))</f>
        <v>#N/A</v>
      </c>
      <c r="W33" s="107" t="e">
        <f ca="1">OFFSET('PERIOD 5'!$K$61,MATCH($A33,'PERIOD 5'!$A$62:$A$67,0),MATCH(W$1,'PERIOD 5'!$L$3:$N$3,0))</f>
        <v>#N/A</v>
      </c>
      <c r="X33" s="107" t="e">
        <f ca="1">OFFSET('PERIOD 5'!$K$61,MATCH($A33,'PERIOD 5'!$A$62:$A$67,0),MATCH(X$1,'PERIOD 5'!$L$3:$N$3,0))</f>
        <v>#N/A</v>
      </c>
      <c r="Y33" s="107" t="e">
        <f ca="1">OFFSET('PERIOD 5'!$K$61,MATCH($A33,'PERIOD 5'!$A$62:$A$67,0),MATCH(Y$1,'PERIOD 5'!$L$3:$N$3,0))</f>
        <v>#N/A</v>
      </c>
      <c r="Z33" s="107" t="e">
        <f ca="1">OFFSET('PERIOD 5'!$K$61,MATCH($A33,'PERIOD 5'!$A$62:$A$67,0),MATCH(Z$1,'PERIOD 5'!$L$3:$N$3,0))</f>
        <v>#N/A</v>
      </c>
      <c r="AA33" s="107" t="e">
        <f ca="1">OFFSET('PERIOD 5'!$K$61,MATCH($A33,'PERIOD 5'!$A$62:$A$67,0),MATCH(AA$1,'PERIOD 5'!$L$3:$N$3,0))</f>
        <v>#N/A</v>
      </c>
      <c r="AB33" s="107" t="e">
        <f ca="1">OFFSET('PERIOD 5'!$K$61,MATCH($A33,'PERIOD 5'!$A$62:$A$67,0),MATCH(AB$1,'PERIOD 5'!$L$3:$N$3,0))</f>
        <v>#N/A</v>
      </c>
      <c r="AC33" s="107" t="e">
        <f ca="1">OFFSET('PERIOD 5'!$K$61,MATCH($A33,'PERIOD 5'!$A$62:$A$67,0),MATCH(AC$1,'PERIOD 5'!$L$3:$N$3,0))</f>
        <v>#N/A</v>
      </c>
      <c r="AD33" s="107" t="e">
        <f ca="1">OFFSET('PERIOD 5'!$K$61,MATCH($A33,'PERIOD 5'!$A$62:$A$67,0),MATCH(AD$1,'PERIOD 5'!$L$3:$N$3,0))</f>
        <v>#N/A</v>
      </c>
      <c r="AE33" s="107" t="e">
        <f ca="1">OFFSET('PERIOD 5'!$K$61,MATCH($A33,'PERIOD 5'!$A$62:$A$67,0),MATCH(AE$1,'PERIOD 5'!$L$3:$N$3,0))</f>
        <v>#N/A</v>
      </c>
      <c r="AF33" s="107" t="e">
        <f ca="1">OFFSET('PERIOD 5'!$K$61,MATCH($A33,'PERIOD 5'!$A$62:$A$67,0),MATCH(AF$1,'PERIOD 5'!$L$3:$N$3,0))</f>
        <v>#N/A</v>
      </c>
      <c r="AG33" s="107" t="e">
        <f ca="1">OFFSET('PERIOD 5'!$K$61,MATCH($A33,'PERIOD 5'!$A$62:$A$67,0),MATCH(AG$1,'PERIOD 5'!$L$3:$N$3,0))</f>
        <v>#N/A</v>
      </c>
      <c r="AH33" s="107" t="e">
        <f ca="1">OFFSET('PERIOD 5'!$K$61,MATCH($A33,'PERIOD 5'!$A$62:$A$67,0),MATCH(AH$1,'PERIOD 5'!$L$3:$N$3,0))</f>
        <v>#N/A</v>
      </c>
      <c r="AI33" s="107" t="e">
        <f ca="1">OFFSET('PERIOD 5'!$K$61,MATCH($A33,'PERIOD 5'!$A$62:$A$67,0),MATCH(AI$1,'PERIOD 5'!$L$3:$N$3,0))</f>
        <v>#N/A</v>
      </c>
      <c r="AJ33" s="107" t="e">
        <f ca="1">OFFSET('PERIOD 5'!$K$61,MATCH($A33,'PERIOD 5'!$A$62:$A$67,0),MATCH(AJ$1,'PERIOD 5'!$L$3:$N$3,0))</f>
        <v>#N/A</v>
      </c>
      <c r="AK33" s="107" t="e">
        <f ca="1">OFFSET('PERIOD 5'!$K$61,MATCH($A33,'PERIOD 5'!$A$62:$A$67,0),MATCH(AK$1,'PERIOD 5'!$L$3:$N$3,0))</f>
        <v>#N/A</v>
      </c>
      <c r="AL33" s="107" t="e">
        <f ca="1">OFFSET('PERIOD 5'!$K$61,MATCH($A33,'PERIOD 5'!$A$62:$A$67,0),MATCH(AL$1,'PERIOD 5'!$L$3:$N$3,0))</f>
        <v>#N/A</v>
      </c>
      <c r="AM33" s="107" t="e">
        <f ca="1">OFFSET('PERIOD 5'!$K$61,MATCH($A33,'PERIOD 5'!$A$62:$A$67,0),MATCH(AM$1,'PERIOD 5'!$L$3:$N$3,0))</f>
        <v>#N/A</v>
      </c>
      <c r="AN33" s="107" t="e">
        <f ca="1">OFFSET('PERIOD 5'!$K$61,MATCH($A33,'PERIOD 5'!$A$62:$A$67,0),MATCH(AN$1,'PERIOD 5'!$L$3:$N$3,0))</f>
        <v>#N/A</v>
      </c>
      <c r="AO33" s="107" t="e">
        <f ca="1">OFFSET('PERIOD 5'!$K$61,MATCH($A33,'PERIOD 5'!$A$62:$A$67,0),MATCH(AO$1,'PERIOD 5'!$L$3:$N$3,0))</f>
        <v>#N/A</v>
      </c>
      <c r="AP33" s="107" t="e">
        <f ca="1">OFFSET('PERIOD 5'!$K$61,MATCH($A33,'PERIOD 5'!$A$62:$A$67,0),MATCH(AP$1,'PERIOD 5'!$L$3:$N$3,0))</f>
        <v>#N/A</v>
      </c>
      <c r="AQ33" s="107" t="e">
        <f ca="1">OFFSET('PERIOD 5'!$K$61,MATCH($A33,'PERIOD 5'!$A$62:$A$67,0),MATCH(AQ$1,'PERIOD 5'!$L$3:$N$3,0))</f>
        <v>#N/A</v>
      </c>
      <c r="AR33" s="107" t="e">
        <f ca="1">OFFSET('PERIOD 5'!$K$61,MATCH($A33,'PERIOD 5'!$A$62:$A$67,0),MATCH(AR$1,'PERIOD 5'!$L$3:$N$3,0))</f>
        <v>#N/A</v>
      </c>
      <c r="AS33" s="107" t="e">
        <f ca="1">OFFSET('PERIOD 5'!$K$61,MATCH($A33,'PERIOD 5'!$A$62:$A$67,0),MATCH(AS$1,'PERIOD 5'!$L$3:$N$3,0))</f>
        <v>#N/A</v>
      </c>
      <c r="AT33" s="107" t="e">
        <f ca="1">OFFSET('PERIOD 5'!$K$61,MATCH($A33,'PERIOD 5'!$A$62:$A$67,0),MATCH(AT$1,'PERIOD 5'!$L$3:$N$3,0))</f>
        <v>#N/A</v>
      </c>
      <c r="AU33" s="107" t="e">
        <f ca="1">OFFSET('PERIOD 5'!$K$61,MATCH($A33,'PERIOD 5'!$A$62:$A$67,0),MATCH(AU$1,'PERIOD 5'!$L$3:$N$3,0))</f>
        <v>#N/A</v>
      </c>
      <c r="AV33" s="107" t="e">
        <f ca="1">OFFSET('PERIOD 5'!$K$61,MATCH($A33,'PERIOD 5'!$A$62:$A$67,0),MATCH(AV$1,'PERIOD 5'!$L$3:$N$3,0))</f>
        <v>#N/A</v>
      </c>
      <c r="AW33" s="107" t="e">
        <f ca="1">OFFSET('PERIOD 5'!$K$61,MATCH($A33,'PERIOD 5'!$A$62:$A$67,0),MATCH(AW$1,'PERIOD 5'!$L$3:$N$3,0))</f>
        <v>#N/A</v>
      </c>
      <c r="AX33" s="107" t="e">
        <f ca="1">OFFSET('PERIOD 5'!$K$61,MATCH($A33,'PERIOD 5'!$A$62:$A$67,0),MATCH(AX$1,'PERIOD 5'!$L$3:$N$3,0))</f>
        <v>#N/A</v>
      </c>
    </row>
    <row r="34" spans="1:50" ht="10.199999999999999" outlineLevel="1" x14ac:dyDescent="0.2">
      <c r="A34" s="34" t="s">
        <v>36</v>
      </c>
      <c r="C34" s="107" t="e">
        <f ca="1">OFFSET('PERIOD 5'!$K$61,MATCH($A34,'PERIOD 5'!$A$62:$A$67,0),MATCH(C$1,'PERIOD 5'!$L$3:$N$3,0))</f>
        <v>#N/A</v>
      </c>
      <c r="D34" s="107" t="e">
        <f ca="1">OFFSET('PERIOD 5'!$K$61,MATCH($A34,'PERIOD 5'!$A$62:$A$67,0),MATCH(D$1,'PERIOD 5'!$L$3:$N$3,0))</f>
        <v>#N/A</v>
      </c>
      <c r="E34" s="107" t="e">
        <f ca="1">OFFSET('PERIOD 5'!$K$61,MATCH($A34,'PERIOD 5'!$A$62:$A$67,0),MATCH(E$1,'PERIOD 5'!$L$3:$N$3,0))</f>
        <v>#N/A</v>
      </c>
      <c r="F34" s="107" t="e">
        <f ca="1">OFFSET('PERIOD 5'!$K$61,MATCH($A34,'PERIOD 5'!$A$62:$A$67,0),MATCH(F$1,'PERIOD 5'!$L$3:$N$3,0))</f>
        <v>#N/A</v>
      </c>
      <c r="G34" s="107" t="e">
        <f ca="1">OFFSET('PERIOD 5'!$K$61,MATCH($A34,'PERIOD 5'!$A$62:$A$67,0),MATCH(G$1,'PERIOD 5'!$L$3:$N$3,0))</f>
        <v>#N/A</v>
      </c>
      <c r="H34" s="107" t="e">
        <f ca="1">OFFSET('PERIOD 5'!$K$61,MATCH($A34,'PERIOD 5'!$A$62:$A$67,0),MATCH(H$1,'PERIOD 5'!$L$3:$N$3,0))</f>
        <v>#N/A</v>
      </c>
      <c r="I34" s="107" t="e">
        <f ca="1">OFFSET('PERIOD 5'!$K$61,MATCH($A34,'PERIOD 5'!$A$62:$A$67,0),MATCH(I$1,'PERIOD 5'!$L$3:$N$3,0))</f>
        <v>#N/A</v>
      </c>
      <c r="J34" s="107" t="e">
        <f ca="1">OFFSET('PERIOD 5'!$K$61,MATCH($A34,'PERIOD 5'!$A$62:$A$67,0),MATCH(J$1,'PERIOD 5'!$L$3:$N$3,0))</f>
        <v>#N/A</v>
      </c>
      <c r="K34" s="107" t="e">
        <f ca="1">OFFSET('PERIOD 5'!$K$61,MATCH($A34,'PERIOD 5'!$A$62:$A$67,0),MATCH(K$1,'PERIOD 5'!$L$3:$N$3,0))</f>
        <v>#N/A</v>
      </c>
      <c r="L34" s="107" t="e">
        <f ca="1">OFFSET('PERIOD 5'!$K$61,MATCH($A34,'PERIOD 5'!$A$62:$A$67,0),MATCH(L$1,'PERIOD 5'!$L$3:$N$3,0))</f>
        <v>#N/A</v>
      </c>
      <c r="M34" s="107" t="e">
        <f ca="1">OFFSET('PERIOD 5'!$K$61,MATCH($A34,'PERIOD 5'!$A$62:$A$67,0),MATCH(M$1,'PERIOD 5'!$L$3:$N$3,0))</f>
        <v>#N/A</v>
      </c>
      <c r="N34" s="107" t="e">
        <f ca="1">OFFSET('PERIOD 5'!$K$61,MATCH($A34,'PERIOD 5'!$A$62:$A$67,0),MATCH(N$1,'PERIOD 5'!$L$3:$N$3,0))</f>
        <v>#N/A</v>
      </c>
      <c r="O34" s="107" t="e">
        <f ca="1">OFFSET('PERIOD 5'!$K$61,MATCH($A34,'PERIOD 5'!$A$62:$A$67,0),MATCH(O$1,'PERIOD 5'!$L$3:$N$3,0))</f>
        <v>#N/A</v>
      </c>
      <c r="P34" s="107" t="e">
        <f ca="1">OFFSET('PERIOD 5'!$K$61,MATCH($A34,'PERIOD 5'!$A$62:$A$67,0),MATCH(P$1,'PERIOD 5'!$L$3:$N$3,0))</f>
        <v>#N/A</v>
      </c>
      <c r="Q34" s="107" t="e">
        <f ca="1">OFFSET('PERIOD 5'!$K$61,MATCH($A34,'PERIOD 5'!$A$62:$A$67,0),MATCH(Q$1,'PERIOD 5'!$L$3:$N$3,0))</f>
        <v>#N/A</v>
      </c>
      <c r="R34" s="107" t="e">
        <f ca="1">OFFSET('PERIOD 5'!$K$61,MATCH($A34,'PERIOD 5'!$A$62:$A$67,0),MATCH(R$1,'PERIOD 5'!$L$3:$N$3,0))</f>
        <v>#N/A</v>
      </c>
      <c r="S34" s="107" t="e">
        <f ca="1">OFFSET('PERIOD 5'!$K$61,MATCH($A34,'PERIOD 5'!$A$62:$A$67,0),MATCH(S$1,'PERIOD 5'!$L$3:$N$3,0))</f>
        <v>#N/A</v>
      </c>
      <c r="T34" s="107" t="e">
        <f ca="1">OFFSET('PERIOD 5'!$K$61,MATCH($A34,'PERIOD 5'!$A$62:$A$67,0),MATCH(T$1,'PERIOD 5'!$L$3:$N$3,0))</f>
        <v>#N/A</v>
      </c>
      <c r="U34" s="107" t="e">
        <f ca="1">OFFSET('PERIOD 5'!$K$61,MATCH($A34,'PERIOD 5'!$A$62:$A$67,0),MATCH(U$1,'PERIOD 5'!$L$3:$N$3,0))</f>
        <v>#N/A</v>
      </c>
      <c r="V34" s="107" t="e">
        <f ca="1">OFFSET('PERIOD 5'!$K$61,MATCH($A34,'PERIOD 5'!$A$62:$A$67,0),MATCH(V$1,'PERIOD 5'!$L$3:$N$3,0))</f>
        <v>#N/A</v>
      </c>
      <c r="W34" s="107" t="e">
        <f ca="1">OFFSET('PERIOD 5'!$K$61,MATCH($A34,'PERIOD 5'!$A$62:$A$67,0),MATCH(W$1,'PERIOD 5'!$L$3:$N$3,0))</f>
        <v>#N/A</v>
      </c>
      <c r="X34" s="107" t="e">
        <f ca="1">OFFSET('PERIOD 5'!$K$61,MATCH($A34,'PERIOD 5'!$A$62:$A$67,0),MATCH(X$1,'PERIOD 5'!$L$3:$N$3,0))</f>
        <v>#N/A</v>
      </c>
      <c r="Y34" s="107" t="e">
        <f ca="1">OFFSET('PERIOD 5'!$K$61,MATCH($A34,'PERIOD 5'!$A$62:$A$67,0),MATCH(Y$1,'PERIOD 5'!$L$3:$N$3,0))</f>
        <v>#N/A</v>
      </c>
      <c r="Z34" s="107" t="e">
        <f ca="1">OFFSET('PERIOD 5'!$K$61,MATCH($A34,'PERIOD 5'!$A$62:$A$67,0),MATCH(Z$1,'PERIOD 5'!$L$3:$N$3,0))</f>
        <v>#N/A</v>
      </c>
      <c r="AA34" s="107" t="e">
        <f ca="1">OFFSET('PERIOD 5'!$K$61,MATCH($A34,'PERIOD 5'!$A$62:$A$67,0),MATCH(AA$1,'PERIOD 5'!$L$3:$N$3,0))</f>
        <v>#N/A</v>
      </c>
      <c r="AB34" s="107" t="e">
        <f ca="1">OFFSET('PERIOD 5'!$K$61,MATCH($A34,'PERIOD 5'!$A$62:$A$67,0),MATCH(AB$1,'PERIOD 5'!$L$3:$N$3,0))</f>
        <v>#N/A</v>
      </c>
      <c r="AC34" s="107" t="e">
        <f ca="1">OFFSET('PERIOD 5'!$K$61,MATCH($A34,'PERIOD 5'!$A$62:$A$67,0),MATCH(AC$1,'PERIOD 5'!$L$3:$N$3,0))</f>
        <v>#N/A</v>
      </c>
      <c r="AD34" s="107" t="e">
        <f ca="1">OFFSET('PERIOD 5'!$K$61,MATCH($A34,'PERIOD 5'!$A$62:$A$67,0),MATCH(AD$1,'PERIOD 5'!$L$3:$N$3,0))</f>
        <v>#N/A</v>
      </c>
      <c r="AE34" s="107" t="e">
        <f ca="1">OFFSET('PERIOD 5'!$K$61,MATCH($A34,'PERIOD 5'!$A$62:$A$67,0),MATCH(AE$1,'PERIOD 5'!$L$3:$N$3,0))</f>
        <v>#N/A</v>
      </c>
      <c r="AF34" s="107" t="e">
        <f ca="1">OFFSET('PERIOD 5'!$K$61,MATCH($A34,'PERIOD 5'!$A$62:$A$67,0),MATCH(AF$1,'PERIOD 5'!$L$3:$N$3,0))</f>
        <v>#N/A</v>
      </c>
      <c r="AG34" s="107" t="e">
        <f ca="1">OFFSET('PERIOD 5'!$K$61,MATCH($A34,'PERIOD 5'!$A$62:$A$67,0),MATCH(AG$1,'PERIOD 5'!$L$3:$N$3,0))</f>
        <v>#N/A</v>
      </c>
      <c r="AH34" s="107" t="e">
        <f ca="1">OFFSET('PERIOD 5'!$K$61,MATCH($A34,'PERIOD 5'!$A$62:$A$67,0),MATCH(AH$1,'PERIOD 5'!$L$3:$N$3,0))</f>
        <v>#N/A</v>
      </c>
      <c r="AI34" s="107" t="e">
        <f ca="1">OFFSET('PERIOD 5'!$K$61,MATCH($A34,'PERIOD 5'!$A$62:$A$67,0),MATCH(AI$1,'PERIOD 5'!$L$3:$N$3,0))</f>
        <v>#N/A</v>
      </c>
      <c r="AJ34" s="107" t="e">
        <f ca="1">OFFSET('PERIOD 5'!$K$61,MATCH($A34,'PERIOD 5'!$A$62:$A$67,0),MATCH(AJ$1,'PERIOD 5'!$L$3:$N$3,0))</f>
        <v>#N/A</v>
      </c>
      <c r="AK34" s="107" t="e">
        <f ca="1">OFFSET('PERIOD 5'!$K$61,MATCH($A34,'PERIOD 5'!$A$62:$A$67,0),MATCH(AK$1,'PERIOD 5'!$L$3:$N$3,0))</f>
        <v>#N/A</v>
      </c>
      <c r="AL34" s="107" t="e">
        <f ca="1">OFFSET('PERIOD 5'!$K$61,MATCH($A34,'PERIOD 5'!$A$62:$A$67,0),MATCH(AL$1,'PERIOD 5'!$L$3:$N$3,0))</f>
        <v>#N/A</v>
      </c>
      <c r="AM34" s="107" t="e">
        <f ca="1">OFFSET('PERIOD 5'!$K$61,MATCH($A34,'PERIOD 5'!$A$62:$A$67,0),MATCH(AM$1,'PERIOD 5'!$L$3:$N$3,0))</f>
        <v>#N/A</v>
      </c>
      <c r="AN34" s="107" t="e">
        <f ca="1">OFFSET('PERIOD 5'!$K$61,MATCH($A34,'PERIOD 5'!$A$62:$A$67,0),MATCH(AN$1,'PERIOD 5'!$L$3:$N$3,0))</f>
        <v>#N/A</v>
      </c>
      <c r="AO34" s="107" t="e">
        <f ca="1">OFFSET('PERIOD 5'!$K$61,MATCH($A34,'PERIOD 5'!$A$62:$A$67,0),MATCH(AO$1,'PERIOD 5'!$L$3:$N$3,0))</f>
        <v>#N/A</v>
      </c>
      <c r="AP34" s="107" t="e">
        <f ca="1">OFFSET('PERIOD 5'!$K$61,MATCH($A34,'PERIOD 5'!$A$62:$A$67,0),MATCH(AP$1,'PERIOD 5'!$L$3:$N$3,0))</f>
        <v>#N/A</v>
      </c>
      <c r="AQ34" s="107" t="e">
        <f ca="1">OFFSET('PERIOD 5'!$K$61,MATCH($A34,'PERIOD 5'!$A$62:$A$67,0),MATCH(AQ$1,'PERIOD 5'!$L$3:$N$3,0))</f>
        <v>#N/A</v>
      </c>
      <c r="AR34" s="107" t="e">
        <f ca="1">OFFSET('PERIOD 5'!$K$61,MATCH($A34,'PERIOD 5'!$A$62:$A$67,0),MATCH(AR$1,'PERIOD 5'!$L$3:$N$3,0))</f>
        <v>#N/A</v>
      </c>
      <c r="AS34" s="107" t="e">
        <f ca="1">OFFSET('PERIOD 5'!$K$61,MATCH($A34,'PERIOD 5'!$A$62:$A$67,0),MATCH(AS$1,'PERIOD 5'!$L$3:$N$3,0))</f>
        <v>#N/A</v>
      </c>
      <c r="AT34" s="107" t="e">
        <f ca="1">OFFSET('PERIOD 5'!$K$61,MATCH($A34,'PERIOD 5'!$A$62:$A$67,0),MATCH(AT$1,'PERIOD 5'!$L$3:$N$3,0))</f>
        <v>#N/A</v>
      </c>
      <c r="AU34" s="107" t="e">
        <f ca="1">OFFSET('PERIOD 5'!$K$61,MATCH($A34,'PERIOD 5'!$A$62:$A$67,0),MATCH(AU$1,'PERIOD 5'!$L$3:$N$3,0))</f>
        <v>#N/A</v>
      </c>
      <c r="AV34" s="107" t="e">
        <f ca="1">OFFSET('PERIOD 5'!$K$61,MATCH($A34,'PERIOD 5'!$A$62:$A$67,0),MATCH(AV$1,'PERIOD 5'!$L$3:$N$3,0))</f>
        <v>#N/A</v>
      </c>
      <c r="AW34" s="107" t="e">
        <f ca="1">OFFSET('PERIOD 5'!$K$61,MATCH($A34,'PERIOD 5'!$A$62:$A$67,0),MATCH(AW$1,'PERIOD 5'!$L$3:$N$3,0))</f>
        <v>#N/A</v>
      </c>
      <c r="AX34" s="107" t="e">
        <f ca="1">OFFSET('PERIOD 5'!$K$61,MATCH($A34,'PERIOD 5'!$A$62:$A$67,0),MATCH(AX$1,'PERIOD 5'!$L$3:$N$3,0))</f>
        <v>#N/A</v>
      </c>
    </row>
    <row r="35" spans="1:50" ht="10.199999999999999" outlineLevel="1" x14ac:dyDescent="0.2">
      <c r="A35" s="38" t="s">
        <v>40</v>
      </c>
      <c r="B35" s="38"/>
      <c r="C35" s="40" t="e">
        <f ca="1">SUM(C32:C34)</f>
        <v>#N/A</v>
      </c>
      <c r="D35" s="40" t="e">
        <f t="shared" ref="D35:W35" ca="1" si="8">SUM(D32:D34)</f>
        <v>#N/A</v>
      </c>
      <c r="E35" s="40" t="e">
        <f t="shared" ca="1" si="8"/>
        <v>#N/A</v>
      </c>
      <c r="F35" s="40" t="e">
        <f t="shared" ca="1" si="8"/>
        <v>#N/A</v>
      </c>
      <c r="G35" s="40" t="e">
        <f t="shared" ca="1" si="8"/>
        <v>#N/A</v>
      </c>
      <c r="H35" s="40" t="e">
        <f t="shared" ca="1" si="8"/>
        <v>#N/A</v>
      </c>
      <c r="I35" s="40" t="e">
        <f t="shared" ca="1" si="8"/>
        <v>#N/A</v>
      </c>
      <c r="J35" s="40" t="e">
        <f t="shared" ca="1" si="8"/>
        <v>#N/A</v>
      </c>
      <c r="K35" s="40" t="e">
        <f t="shared" ca="1" si="8"/>
        <v>#N/A</v>
      </c>
      <c r="L35" s="40" t="e">
        <f ca="1">SUM(L32:L34)</f>
        <v>#N/A</v>
      </c>
      <c r="M35" s="40" t="e">
        <f t="shared" ca="1" si="8"/>
        <v>#N/A</v>
      </c>
      <c r="N35" s="40" t="e">
        <f t="shared" ca="1" si="8"/>
        <v>#N/A</v>
      </c>
      <c r="O35" s="40" t="e">
        <f t="shared" ca="1" si="8"/>
        <v>#N/A</v>
      </c>
      <c r="P35" s="40" t="e">
        <f t="shared" ca="1" si="8"/>
        <v>#N/A</v>
      </c>
      <c r="Q35" s="40" t="e">
        <f t="shared" ca="1" si="8"/>
        <v>#N/A</v>
      </c>
      <c r="R35" s="40" t="e">
        <f t="shared" ca="1" si="8"/>
        <v>#N/A</v>
      </c>
      <c r="S35" s="40" t="e">
        <f ca="1">SUM(S32:S34)</f>
        <v>#N/A</v>
      </c>
      <c r="T35" s="40" t="e">
        <f ca="1">SUM(T32:T34)</f>
        <v>#N/A</v>
      </c>
      <c r="U35" s="40" t="e">
        <f ca="1">SUM(U32:U34)</f>
        <v>#N/A</v>
      </c>
      <c r="V35" s="40" t="e">
        <f t="shared" ca="1" si="8"/>
        <v>#N/A</v>
      </c>
      <c r="W35" s="40" t="e">
        <f t="shared" ca="1" si="8"/>
        <v>#N/A</v>
      </c>
      <c r="X35" s="40" t="e">
        <f t="shared" ref="X35:AX35" ca="1" si="9">SUM(X32:X34)</f>
        <v>#N/A</v>
      </c>
      <c r="Y35" s="40" t="e">
        <f t="shared" ca="1" si="9"/>
        <v>#N/A</v>
      </c>
      <c r="Z35" s="40" t="e">
        <f t="shared" ca="1" si="9"/>
        <v>#N/A</v>
      </c>
      <c r="AA35" s="40" t="e">
        <f t="shared" ca="1" si="9"/>
        <v>#N/A</v>
      </c>
      <c r="AB35" s="40" t="e">
        <f t="shared" ca="1" si="9"/>
        <v>#N/A</v>
      </c>
      <c r="AC35" s="40" t="e">
        <f t="shared" ca="1" si="9"/>
        <v>#N/A</v>
      </c>
      <c r="AD35" s="40" t="e">
        <f t="shared" ca="1" si="9"/>
        <v>#N/A</v>
      </c>
      <c r="AE35" s="40" t="e">
        <f t="shared" ca="1" si="9"/>
        <v>#N/A</v>
      </c>
      <c r="AF35" s="40" t="e">
        <f t="shared" ca="1" si="9"/>
        <v>#N/A</v>
      </c>
      <c r="AG35" s="40" t="e">
        <f t="shared" ca="1" si="9"/>
        <v>#N/A</v>
      </c>
      <c r="AH35" s="40" t="e">
        <f t="shared" ca="1" si="9"/>
        <v>#N/A</v>
      </c>
      <c r="AI35" s="40" t="e">
        <f t="shared" ca="1" si="9"/>
        <v>#N/A</v>
      </c>
      <c r="AJ35" s="40" t="e">
        <f t="shared" ca="1" si="9"/>
        <v>#N/A</v>
      </c>
      <c r="AK35" s="40" t="e">
        <f t="shared" ca="1" si="9"/>
        <v>#N/A</v>
      </c>
      <c r="AL35" s="40" t="e">
        <f t="shared" ca="1" si="9"/>
        <v>#N/A</v>
      </c>
      <c r="AM35" s="40" t="e">
        <f t="shared" ca="1" si="9"/>
        <v>#N/A</v>
      </c>
      <c r="AN35" s="40" t="e">
        <f t="shared" ca="1" si="9"/>
        <v>#N/A</v>
      </c>
      <c r="AO35" s="40" t="e">
        <f t="shared" ca="1" si="9"/>
        <v>#N/A</v>
      </c>
      <c r="AP35" s="40" t="e">
        <f t="shared" ca="1" si="9"/>
        <v>#N/A</v>
      </c>
      <c r="AQ35" s="40" t="e">
        <f t="shared" ca="1" si="9"/>
        <v>#N/A</v>
      </c>
      <c r="AR35" s="40" t="e">
        <f t="shared" ca="1" si="9"/>
        <v>#N/A</v>
      </c>
      <c r="AS35" s="40" t="e">
        <f t="shared" ca="1" si="9"/>
        <v>#N/A</v>
      </c>
      <c r="AT35" s="40" t="e">
        <f t="shared" ca="1" si="9"/>
        <v>#N/A</v>
      </c>
      <c r="AU35" s="40" t="e">
        <f t="shared" ca="1" si="9"/>
        <v>#N/A</v>
      </c>
      <c r="AV35" s="40" t="e">
        <f t="shared" ca="1" si="9"/>
        <v>#N/A</v>
      </c>
      <c r="AW35" s="40" t="e">
        <f t="shared" ca="1" si="9"/>
        <v>#N/A</v>
      </c>
      <c r="AX35" s="40" t="e">
        <f t="shared" ca="1" si="9"/>
        <v>#N/A</v>
      </c>
    </row>
    <row r="36" spans="1:50" ht="10.199999999999999" outlineLevel="1" x14ac:dyDescent="0.2">
      <c r="C36" s="39"/>
      <c r="D36" s="107"/>
      <c r="E36" s="39"/>
      <c r="F36" s="107"/>
      <c r="G36" s="107"/>
      <c r="H36" s="107"/>
      <c r="I36" s="107"/>
      <c r="J36" s="107"/>
      <c r="K36" s="107"/>
      <c r="L36" s="107"/>
      <c r="M36" s="39"/>
      <c r="N36" s="39"/>
      <c r="O36" s="39"/>
      <c r="P36" s="107"/>
      <c r="Q36" s="39"/>
      <c r="R36" s="107"/>
      <c r="S36" s="107"/>
      <c r="T36" s="107"/>
      <c r="U36" s="39"/>
      <c r="V36" s="107"/>
      <c r="W36" s="107"/>
      <c r="Y36" s="34"/>
    </row>
    <row r="37" spans="1:50" ht="10.199999999999999" outlineLevel="1" x14ac:dyDescent="0.2">
      <c r="A37" s="38" t="s">
        <v>46</v>
      </c>
      <c r="B37" s="38"/>
      <c r="C37" s="108"/>
      <c r="D37" s="107"/>
      <c r="E37" s="39"/>
      <c r="F37" s="107"/>
      <c r="G37" s="107"/>
      <c r="H37" s="107"/>
      <c r="I37" s="107"/>
      <c r="J37" s="107"/>
      <c r="K37" s="39"/>
      <c r="L37" s="107"/>
      <c r="M37" s="107"/>
      <c r="N37" s="39"/>
      <c r="O37" s="39"/>
      <c r="P37" s="39"/>
      <c r="Q37" s="107"/>
      <c r="R37" s="39"/>
      <c r="S37" s="107"/>
      <c r="T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</row>
    <row r="38" spans="1:50" ht="10.199999999999999" outlineLevel="1" x14ac:dyDescent="0.2">
      <c r="A38" s="34" t="s">
        <v>10</v>
      </c>
      <c r="C38" s="107" t="e">
        <f ca="1">OFFSET('PERIOD 6'!#REF!,MATCH($A38,'PERIOD 6'!#REF!,0),MATCH(C$1,'PERIOD 6'!$L$4:$N$4,0))</f>
        <v>#REF!</v>
      </c>
      <c r="D38" s="107" t="e">
        <f ca="1">OFFSET('PERIOD 6'!#REF!,MATCH($A38,'PERIOD 6'!#REF!,0),MATCH(D$1,'PERIOD 6'!$L$4:$N$4,0))</f>
        <v>#REF!</v>
      </c>
      <c r="E38" s="107" t="e">
        <f ca="1">OFFSET('PERIOD 6'!#REF!,MATCH($A38,'PERIOD 6'!#REF!,0),MATCH(E$1,'PERIOD 6'!$L$4:$N$4,0))</f>
        <v>#REF!</v>
      </c>
      <c r="F38" s="107" t="e">
        <f ca="1">OFFSET('PERIOD 6'!#REF!,MATCH($A38,'PERIOD 6'!#REF!,0),MATCH(F$1,'PERIOD 6'!$L$4:$N$4,0))</f>
        <v>#REF!</v>
      </c>
      <c r="G38" s="107" t="e">
        <f ca="1">OFFSET('PERIOD 6'!#REF!,MATCH($A38,'PERIOD 6'!#REF!,0),MATCH(G$1,'PERIOD 6'!$L$4:$N$4,0))</f>
        <v>#REF!</v>
      </c>
      <c r="H38" s="107" t="e">
        <f ca="1">OFFSET('PERIOD 6'!#REF!,MATCH($A38,'PERIOD 6'!#REF!,0),MATCH(H$1,'PERIOD 6'!$L$4:$N$4,0))</f>
        <v>#REF!</v>
      </c>
      <c r="I38" s="107" t="e">
        <f ca="1">OFFSET('PERIOD 6'!#REF!,MATCH($A38,'PERIOD 6'!#REF!,0),MATCH(I$1,'PERIOD 6'!$L$4:$N$4,0))</f>
        <v>#REF!</v>
      </c>
      <c r="J38" s="107" t="e">
        <f ca="1">OFFSET('PERIOD 6'!#REF!,MATCH($A38,'PERIOD 6'!#REF!,0),MATCH(J$1,'PERIOD 6'!$L$4:$N$4,0))</f>
        <v>#REF!</v>
      </c>
      <c r="K38" s="107" t="e">
        <f ca="1">OFFSET('PERIOD 6'!#REF!,MATCH($A38,'PERIOD 6'!#REF!,0),MATCH(K$1,'PERIOD 6'!$L$4:$N$4,0))</f>
        <v>#REF!</v>
      </c>
      <c r="L38" s="107" t="e">
        <f ca="1">OFFSET('PERIOD 6'!#REF!,MATCH($A38,'PERIOD 6'!#REF!,0),MATCH(L$1,'PERIOD 6'!$L$4:$N$4,0))</f>
        <v>#REF!</v>
      </c>
      <c r="M38" s="107" t="e">
        <f ca="1">OFFSET('PERIOD 6'!#REF!,MATCH($A38,'PERIOD 6'!#REF!,0),MATCH(M$1,'PERIOD 6'!$L$4:$N$4,0))</f>
        <v>#REF!</v>
      </c>
      <c r="N38" s="107" t="e">
        <f ca="1">OFFSET('PERIOD 6'!#REF!,MATCH($A38,'PERIOD 6'!#REF!,0),MATCH(N$1,'PERIOD 6'!$L$4:$N$4,0))</f>
        <v>#REF!</v>
      </c>
      <c r="O38" s="107" t="e">
        <f ca="1">OFFSET('PERIOD 6'!#REF!,MATCH($A38,'PERIOD 6'!#REF!,0),MATCH(O$1,'PERIOD 6'!$L$4:$N$4,0))</f>
        <v>#REF!</v>
      </c>
      <c r="P38" s="107" t="e">
        <f ca="1">OFFSET('PERIOD 6'!#REF!,MATCH($A38,'PERIOD 6'!#REF!,0),MATCH(P$1,'PERIOD 6'!$L$4:$N$4,0))</f>
        <v>#REF!</v>
      </c>
      <c r="Q38" s="107" t="e">
        <f ca="1">OFFSET('PERIOD 6'!#REF!,MATCH($A38,'PERIOD 6'!#REF!,0),MATCH(Q$1,'PERIOD 6'!$L$4:$N$4,0))</f>
        <v>#REF!</v>
      </c>
      <c r="R38" s="107" t="e">
        <f ca="1">OFFSET('PERIOD 6'!#REF!,MATCH($A38,'PERIOD 6'!#REF!,0),MATCH(R$1,'PERIOD 6'!$L$4:$N$4,0))</f>
        <v>#REF!</v>
      </c>
      <c r="S38" s="107" t="e">
        <f ca="1">OFFSET('PERIOD 6'!#REF!,MATCH($A38,'PERIOD 6'!#REF!,0),MATCH(S$1,'PERIOD 6'!$L$4:$N$4,0))</f>
        <v>#REF!</v>
      </c>
      <c r="T38" s="107" t="e">
        <f ca="1">OFFSET('PERIOD 6'!#REF!,MATCH($A38,'PERIOD 6'!#REF!,0),MATCH(T$1,'PERIOD 6'!$L$4:$N$4,0))</f>
        <v>#REF!</v>
      </c>
      <c r="U38" s="107" t="e">
        <f ca="1">OFFSET('PERIOD 6'!#REF!,MATCH($A38,'PERIOD 6'!#REF!,0),MATCH(U$1,'PERIOD 6'!$L$4:$N$4,0))</f>
        <v>#REF!</v>
      </c>
      <c r="V38" s="107" t="e">
        <f ca="1">OFFSET('PERIOD 6'!#REF!,MATCH($A38,'PERIOD 6'!#REF!,0),MATCH(V$1,'PERIOD 6'!$L$4:$N$4,0))</f>
        <v>#REF!</v>
      </c>
      <c r="W38" s="107" t="e">
        <f ca="1">OFFSET('PERIOD 6'!#REF!,MATCH($A38,'PERIOD 6'!#REF!,0),MATCH(W$1,'PERIOD 6'!$L$4:$N$4,0))</f>
        <v>#REF!</v>
      </c>
      <c r="X38" s="107" t="e">
        <f ca="1">OFFSET('PERIOD 6'!#REF!,MATCH($A38,'PERIOD 6'!#REF!,0),MATCH(X$1,'PERIOD 6'!$L$4:$N$4,0))</f>
        <v>#REF!</v>
      </c>
      <c r="Y38" s="107" t="e">
        <f ca="1">OFFSET('PERIOD 6'!#REF!,MATCH($A38,'PERIOD 6'!#REF!,0),MATCH(Y$1,'PERIOD 6'!$L$4:$N$4,0))</f>
        <v>#REF!</v>
      </c>
      <c r="Z38" s="107" t="e">
        <f ca="1">OFFSET('PERIOD 6'!#REF!,MATCH($A38,'PERIOD 6'!#REF!,0),MATCH(Z$1,'PERIOD 6'!$L$4:$N$4,0))</f>
        <v>#REF!</v>
      </c>
      <c r="AA38" s="107" t="e">
        <f ca="1">OFFSET('PERIOD 6'!#REF!,MATCH($A38,'PERIOD 6'!#REF!,0),MATCH(AA$1,'PERIOD 6'!$L$4:$N$4,0))</f>
        <v>#REF!</v>
      </c>
      <c r="AB38" s="107" t="e">
        <f ca="1">OFFSET('PERIOD 6'!#REF!,MATCH($A38,'PERIOD 6'!#REF!,0),MATCH(AB$1,'PERIOD 6'!$L$4:$N$4,0))</f>
        <v>#REF!</v>
      </c>
      <c r="AC38" s="107" t="e">
        <f ca="1">OFFSET('PERIOD 6'!#REF!,MATCH($A38,'PERIOD 6'!#REF!,0),MATCH(AC$1,'PERIOD 6'!$L$4:$N$4,0))</f>
        <v>#REF!</v>
      </c>
      <c r="AD38" s="107" t="e">
        <f ca="1">OFFSET('PERIOD 6'!#REF!,MATCH($A38,'PERIOD 6'!#REF!,0),MATCH(AD$1,'PERIOD 6'!$L$4:$N$4,0))</f>
        <v>#REF!</v>
      </c>
      <c r="AE38" s="107" t="e">
        <f ca="1">OFFSET('PERIOD 6'!#REF!,MATCH($A38,'PERIOD 6'!#REF!,0),MATCH(AE$1,'PERIOD 6'!$L$4:$N$4,0))</f>
        <v>#REF!</v>
      </c>
      <c r="AF38" s="107" t="e">
        <f ca="1">OFFSET('PERIOD 6'!#REF!,MATCH($A38,'PERIOD 6'!#REF!,0),MATCH(AF$1,'PERIOD 6'!$L$4:$N$4,0))</f>
        <v>#REF!</v>
      </c>
      <c r="AG38" s="107" t="e">
        <f ca="1">OFFSET('PERIOD 6'!#REF!,MATCH($A38,'PERIOD 6'!#REF!,0),MATCH(AG$1,'PERIOD 6'!$L$4:$N$4,0))</f>
        <v>#REF!</v>
      </c>
      <c r="AH38" s="107" t="e">
        <f ca="1">OFFSET('PERIOD 6'!#REF!,MATCH($A38,'PERIOD 6'!#REF!,0),MATCH(AH$1,'PERIOD 6'!$L$4:$N$4,0))</f>
        <v>#REF!</v>
      </c>
      <c r="AI38" s="107" t="e">
        <f ca="1">OFFSET('PERIOD 6'!#REF!,MATCH($A38,'PERIOD 6'!#REF!,0),MATCH(AI$1,'PERIOD 6'!$L$4:$N$4,0))</f>
        <v>#REF!</v>
      </c>
      <c r="AJ38" s="107" t="e">
        <f ca="1">OFFSET('PERIOD 6'!#REF!,MATCH($A38,'PERIOD 6'!#REF!,0),MATCH(AJ$1,'PERIOD 6'!$L$4:$N$4,0))</f>
        <v>#REF!</v>
      </c>
      <c r="AK38" s="107" t="e">
        <f ca="1">OFFSET('PERIOD 6'!#REF!,MATCH($A38,'PERIOD 6'!#REF!,0),MATCH(AK$1,'PERIOD 6'!$L$4:$N$4,0))</f>
        <v>#REF!</v>
      </c>
      <c r="AL38" s="107" t="e">
        <f ca="1">OFFSET('PERIOD 6'!#REF!,MATCH($A38,'PERIOD 6'!#REF!,0),MATCH(AL$1,'PERIOD 6'!$L$4:$N$4,0))</f>
        <v>#REF!</v>
      </c>
      <c r="AM38" s="107" t="e">
        <f ca="1">OFFSET('PERIOD 6'!#REF!,MATCH($A38,'PERIOD 6'!#REF!,0),MATCH(AM$1,'PERIOD 6'!$L$4:$N$4,0))</f>
        <v>#REF!</v>
      </c>
      <c r="AN38" s="107" t="e">
        <f ca="1">OFFSET('PERIOD 6'!#REF!,MATCH($A38,'PERIOD 6'!#REF!,0),MATCH(AN$1,'PERIOD 6'!$L$4:$N$4,0))</f>
        <v>#REF!</v>
      </c>
      <c r="AO38" s="107" t="e">
        <f ca="1">OFFSET('PERIOD 6'!#REF!,MATCH($A38,'PERIOD 6'!#REF!,0),MATCH(AO$1,'PERIOD 6'!$L$4:$N$4,0))</f>
        <v>#REF!</v>
      </c>
      <c r="AP38" s="107" t="e">
        <f ca="1">OFFSET('PERIOD 6'!#REF!,MATCH($A38,'PERIOD 6'!#REF!,0),MATCH(AP$1,'PERIOD 6'!$L$4:$N$4,0))</f>
        <v>#REF!</v>
      </c>
      <c r="AQ38" s="107" t="e">
        <f ca="1">OFFSET('PERIOD 6'!#REF!,MATCH($A38,'PERIOD 6'!#REF!,0),MATCH(AQ$1,'PERIOD 6'!$L$4:$N$4,0))</f>
        <v>#REF!</v>
      </c>
      <c r="AR38" s="107" t="e">
        <f ca="1">OFFSET('PERIOD 6'!#REF!,MATCH($A38,'PERIOD 6'!#REF!,0),MATCH(AR$1,'PERIOD 6'!$L$4:$N$4,0))</f>
        <v>#REF!</v>
      </c>
      <c r="AS38" s="107" t="e">
        <f ca="1">OFFSET('PERIOD 6'!#REF!,MATCH($A38,'PERIOD 6'!#REF!,0),MATCH(AS$1,'PERIOD 6'!$L$4:$N$4,0))</f>
        <v>#REF!</v>
      </c>
      <c r="AT38" s="107" t="e">
        <f ca="1">OFFSET('PERIOD 6'!#REF!,MATCH($A38,'PERIOD 6'!#REF!,0),MATCH(AT$1,'PERIOD 6'!$L$4:$N$4,0))</f>
        <v>#REF!</v>
      </c>
      <c r="AU38" s="107" t="e">
        <f ca="1">OFFSET('PERIOD 6'!#REF!,MATCH($A38,'PERIOD 6'!#REF!,0),MATCH(AU$1,'PERIOD 6'!$L$4:$N$4,0))</f>
        <v>#REF!</v>
      </c>
      <c r="AV38" s="107" t="e">
        <f ca="1">OFFSET('PERIOD 6'!#REF!,MATCH($A38,'PERIOD 6'!#REF!,0),MATCH(AV$1,'PERIOD 6'!$L$4:$N$4,0))</f>
        <v>#REF!</v>
      </c>
      <c r="AW38" s="107" t="e">
        <f ca="1">OFFSET('PERIOD 6'!#REF!,MATCH($A38,'PERIOD 6'!#REF!,0),MATCH(AW$1,'PERIOD 6'!$L$4:$N$4,0))</f>
        <v>#REF!</v>
      </c>
      <c r="AX38" s="107" t="e">
        <f ca="1">OFFSET('PERIOD 6'!#REF!,MATCH($A38,'PERIOD 6'!#REF!,0),MATCH(AX$1,'PERIOD 6'!$L$4:$N$4,0))</f>
        <v>#REF!</v>
      </c>
    </row>
    <row r="39" spans="1:50" ht="10.199999999999999" outlineLevel="1" x14ac:dyDescent="0.2">
      <c r="A39" s="34" t="s">
        <v>39</v>
      </c>
      <c r="C39" s="107" t="e">
        <f ca="1">OFFSET('PERIOD 6'!#REF!,MATCH($A39,'PERIOD 6'!#REF!,0),MATCH(C$1,'PERIOD 6'!$L$4:$N$4,0))</f>
        <v>#REF!</v>
      </c>
      <c r="D39" s="107" t="e">
        <f ca="1">OFFSET('PERIOD 6'!#REF!,MATCH($A39,'PERIOD 6'!#REF!,0),MATCH(D$1,'PERIOD 6'!$L$4:$N$4,0))</f>
        <v>#REF!</v>
      </c>
      <c r="E39" s="107" t="e">
        <f ca="1">OFFSET('PERIOD 6'!#REF!,MATCH($A39,'PERIOD 6'!#REF!,0),MATCH(E$1,'PERIOD 6'!$L$4:$N$4,0))</f>
        <v>#REF!</v>
      </c>
      <c r="F39" s="107" t="e">
        <f ca="1">OFFSET('PERIOD 6'!#REF!,MATCH($A39,'PERIOD 6'!#REF!,0),MATCH(F$1,'PERIOD 6'!$L$4:$N$4,0))</f>
        <v>#REF!</v>
      </c>
      <c r="G39" s="107" t="e">
        <f ca="1">OFFSET('PERIOD 6'!#REF!,MATCH($A39,'PERIOD 6'!#REF!,0),MATCH(G$1,'PERIOD 6'!$L$4:$N$4,0))</f>
        <v>#REF!</v>
      </c>
      <c r="H39" s="107" t="e">
        <f ca="1">OFFSET('PERIOD 6'!#REF!,MATCH($A39,'PERIOD 6'!#REF!,0),MATCH(H$1,'PERIOD 6'!$L$4:$N$4,0))</f>
        <v>#REF!</v>
      </c>
      <c r="I39" s="107" t="e">
        <f ca="1">OFFSET('PERIOD 6'!#REF!,MATCH($A39,'PERIOD 6'!#REF!,0),MATCH(I$1,'PERIOD 6'!$L$4:$N$4,0))</f>
        <v>#REF!</v>
      </c>
      <c r="J39" s="107" t="e">
        <f ca="1">OFFSET('PERIOD 6'!#REF!,MATCH($A39,'PERIOD 6'!#REF!,0),MATCH(J$1,'PERIOD 6'!$L$4:$N$4,0))</f>
        <v>#REF!</v>
      </c>
      <c r="K39" s="107" t="e">
        <f ca="1">OFFSET('PERIOD 6'!#REF!,MATCH($A39,'PERIOD 6'!#REF!,0),MATCH(K$1,'PERIOD 6'!$L$4:$N$4,0))</f>
        <v>#REF!</v>
      </c>
      <c r="L39" s="107" t="e">
        <f ca="1">OFFSET('PERIOD 6'!#REF!,MATCH($A39,'PERIOD 6'!#REF!,0),MATCH(L$1,'PERIOD 6'!$L$4:$N$4,0))</f>
        <v>#REF!</v>
      </c>
      <c r="M39" s="107" t="e">
        <f ca="1">OFFSET('PERIOD 6'!#REF!,MATCH($A39,'PERIOD 6'!#REF!,0),MATCH(M$1,'PERIOD 6'!$L$4:$N$4,0))</f>
        <v>#REF!</v>
      </c>
      <c r="N39" s="107" t="e">
        <f ca="1">OFFSET('PERIOD 6'!#REF!,MATCH($A39,'PERIOD 6'!#REF!,0),MATCH(N$1,'PERIOD 6'!$L$4:$N$4,0))</f>
        <v>#REF!</v>
      </c>
      <c r="O39" s="107" t="e">
        <f ca="1">OFFSET('PERIOD 6'!#REF!,MATCH($A39,'PERIOD 6'!#REF!,0),MATCH(O$1,'PERIOD 6'!$L$4:$N$4,0))</f>
        <v>#REF!</v>
      </c>
      <c r="P39" s="107" t="e">
        <f ca="1">OFFSET('PERIOD 6'!#REF!,MATCH($A39,'PERIOD 6'!#REF!,0),MATCH(P$1,'PERIOD 6'!$L$4:$N$4,0))</f>
        <v>#REF!</v>
      </c>
      <c r="Q39" s="107" t="e">
        <f ca="1">OFFSET('PERIOD 6'!#REF!,MATCH($A39,'PERIOD 6'!#REF!,0),MATCH(Q$1,'PERIOD 6'!$L$4:$N$4,0))</f>
        <v>#REF!</v>
      </c>
      <c r="R39" s="107" t="e">
        <f ca="1">OFFSET('PERIOD 6'!#REF!,MATCH($A39,'PERIOD 6'!#REF!,0),MATCH(R$1,'PERIOD 6'!$L$4:$N$4,0))</f>
        <v>#REF!</v>
      </c>
      <c r="S39" s="107" t="e">
        <f ca="1">OFFSET('PERIOD 6'!#REF!,MATCH($A39,'PERIOD 6'!#REF!,0),MATCH(S$1,'PERIOD 6'!$L$4:$N$4,0))</f>
        <v>#REF!</v>
      </c>
      <c r="T39" s="107" t="e">
        <f ca="1">OFFSET('PERIOD 6'!#REF!,MATCH($A39,'PERIOD 6'!#REF!,0),MATCH(T$1,'PERIOD 6'!$L$4:$N$4,0))</f>
        <v>#REF!</v>
      </c>
      <c r="U39" s="107" t="e">
        <f ca="1">OFFSET('PERIOD 6'!#REF!,MATCH($A39,'PERIOD 6'!#REF!,0),MATCH(U$1,'PERIOD 6'!$L$4:$N$4,0))</f>
        <v>#REF!</v>
      </c>
      <c r="V39" s="107" t="e">
        <f ca="1">OFFSET('PERIOD 6'!#REF!,MATCH($A39,'PERIOD 6'!#REF!,0),MATCH(V$1,'PERIOD 6'!$L$4:$N$4,0))</f>
        <v>#REF!</v>
      </c>
      <c r="W39" s="107" t="e">
        <f ca="1">OFFSET('PERIOD 6'!#REF!,MATCH($A39,'PERIOD 6'!#REF!,0),MATCH(W$1,'PERIOD 6'!$L$4:$N$4,0))</f>
        <v>#REF!</v>
      </c>
      <c r="X39" s="107" t="e">
        <f ca="1">OFFSET('PERIOD 6'!#REF!,MATCH($A39,'PERIOD 6'!#REF!,0),MATCH(X$1,'PERIOD 6'!$L$4:$N$4,0))</f>
        <v>#REF!</v>
      </c>
      <c r="Y39" s="107" t="e">
        <f ca="1">OFFSET('PERIOD 6'!#REF!,MATCH($A39,'PERIOD 6'!#REF!,0),MATCH(Y$1,'PERIOD 6'!$L$4:$N$4,0))</f>
        <v>#REF!</v>
      </c>
      <c r="Z39" s="107" t="e">
        <f ca="1">OFFSET('PERIOD 6'!#REF!,MATCH($A39,'PERIOD 6'!#REF!,0),MATCH(Z$1,'PERIOD 6'!$L$4:$N$4,0))</f>
        <v>#REF!</v>
      </c>
      <c r="AA39" s="107" t="e">
        <f ca="1">OFFSET('PERIOD 6'!#REF!,MATCH($A39,'PERIOD 6'!#REF!,0),MATCH(AA$1,'PERIOD 6'!$L$4:$N$4,0))</f>
        <v>#REF!</v>
      </c>
      <c r="AB39" s="107" t="e">
        <f ca="1">OFFSET('PERIOD 6'!#REF!,MATCH($A39,'PERIOD 6'!#REF!,0),MATCH(AB$1,'PERIOD 6'!$L$4:$N$4,0))</f>
        <v>#REF!</v>
      </c>
      <c r="AC39" s="107" t="e">
        <f ca="1">OFFSET('PERIOD 6'!#REF!,MATCH($A39,'PERIOD 6'!#REF!,0),MATCH(AC$1,'PERIOD 6'!$L$4:$N$4,0))</f>
        <v>#REF!</v>
      </c>
      <c r="AD39" s="107" t="e">
        <f ca="1">OFFSET('PERIOD 6'!#REF!,MATCH($A39,'PERIOD 6'!#REF!,0),MATCH(AD$1,'PERIOD 6'!$L$4:$N$4,0))</f>
        <v>#REF!</v>
      </c>
      <c r="AE39" s="107" t="e">
        <f ca="1">OFFSET('PERIOD 6'!#REF!,MATCH($A39,'PERIOD 6'!#REF!,0),MATCH(AE$1,'PERIOD 6'!$L$4:$N$4,0))</f>
        <v>#REF!</v>
      </c>
      <c r="AF39" s="107" t="e">
        <f ca="1">OFFSET('PERIOD 6'!#REF!,MATCH($A39,'PERIOD 6'!#REF!,0),MATCH(AF$1,'PERIOD 6'!$L$4:$N$4,0))</f>
        <v>#REF!</v>
      </c>
      <c r="AG39" s="107" t="e">
        <f ca="1">OFFSET('PERIOD 6'!#REF!,MATCH($A39,'PERIOD 6'!#REF!,0),MATCH(AG$1,'PERIOD 6'!$L$4:$N$4,0))</f>
        <v>#REF!</v>
      </c>
      <c r="AH39" s="107" t="e">
        <f ca="1">OFFSET('PERIOD 6'!#REF!,MATCH($A39,'PERIOD 6'!#REF!,0),MATCH(AH$1,'PERIOD 6'!$L$4:$N$4,0))</f>
        <v>#REF!</v>
      </c>
      <c r="AI39" s="107" t="e">
        <f ca="1">OFFSET('PERIOD 6'!#REF!,MATCH($A39,'PERIOD 6'!#REF!,0),MATCH(AI$1,'PERIOD 6'!$L$4:$N$4,0))</f>
        <v>#REF!</v>
      </c>
      <c r="AJ39" s="107" t="e">
        <f ca="1">OFFSET('PERIOD 6'!#REF!,MATCH($A39,'PERIOD 6'!#REF!,0),MATCH(AJ$1,'PERIOD 6'!$L$4:$N$4,0))</f>
        <v>#REF!</v>
      </c>
      <c r="AK39" s="107" t="e">
        <f ca="1">OFFSET('PERIOD 6'!#REF!,MATCH($A39,'PERIOD 6'!#REF!,0),MATCH(AK$1,'PERIOD 6'!$L$4:$N$4,0))</f>
        <v>#REF!</v>
      </c>
      <c r="AL39" s="107" t="e">
        <f ca="1">OFFSET('PERIOD 6'!#REF!,MATCH($A39,'PERIOD 6'!#REF!,0),MATCH(AL$1,'PERIOD 6'!$L$4:$N$4,0))</f>
        <v>#REF!</v>
      </c>
      <c r="AM39" s="107" t="e">
        <f ca="1">OFFSET('PERIOD 6'!#REF!,MATCH($A39,'PERIOD 6'!#REF!,0),MATCH(AM$1,'PERIOD 6'!$L$4:$N$4,0))</f>
        <v>#REF!</v>
      </c>
      <c r="AN39" s="107" t="e">
        <f ca="1">OFFSET('PERIOD 6'!#REF!,MATCH($A39,'PERIOD 6'!#REF!,0),MATCH(AN$1,'PERIOD 6'!$L$4:$N$4,0))</f>
        <v>#REF!</v>
      </c>
      <c r="AO39" s="107" t="e">
        <f ca="1">OFFSET('PERIOD 6'!#REF!,MATCH($A39,'PERIOD 6'!#REF!,0),MATCH(AO$1,'PERIOD 6'!$L$4:$N$4,0))</f>
        <v>#REF!</v>
      </c>
      <c r="AP39" s="107" t="e">
        <f ca="1">OFFSET('PERIOD 6'!#REF!,MATCH($A39,'PERIOD 6'!#REF!,0),MATCH(AP$1,'PERIOD 6'!$L$4:$N$4,0))</f>
        <v>#REF!</v>
      </c>
      <c r="AQ39" s="107" t="e">
        <f ca="1">OFFSET('PERIOD 6'!#REF!,MATCH($A39,'PERIOD 6'!#REF!,0),MATCH(AQ$1,'PERIOD 6'!$L$4:$N$4,0))</f>
        <v>#REF!</v>
      </c>
      <c r="AR39" s="107" t="e">
        <f ca="1">OFFSET('PERIOD 6'!#REF!,MATCH($A39,'PERIOD 6'!#REF!,0),MATCH(AR$1,'PERIOD 6'!$L$4:$N$4,0))</f>
        <v>#REF!</v>
      </c>
      <c r="AS39" s="107" t="e">
        <f ca="1">OFFSET('PERIOD 6'!#REF!,MATCH($A39,'PERIOD 6'!#REF!,0),MATCH(AS$1,'PERIOD 6'!$L$4:$N$4,0))</f>
        <v>#REF!</v>
      </c>
      <c r="AT39" s="107" t="e">
        <f ca="1">OFFSET('PERIOD 6'!#REF!,MATCH($A39,'PERIOD 6'!#REF!,0),MATCH(AT$1,'PERIOD 6'!$L$4:$N$4,0))</f>
        <v>#REF!</v>
      </c>
      <c r="AU39" s="107" t="e">
        <f ca="1">OFFSET('PERIOD 6'!#REF!,MATCH($A39,'PERIOD 6'!#REF!,0),MATCH(AU$1,'PERIOD 6'!$L$4:$N$4,0))</f>
        <v>#REF!</v>
      </c>
      <c r="AV39" s="107" t="e">
        <f ca="1">OFFSET('PERIOD 6'!#REF!,MATCH($A39,'PERIOD 6'!#REF!,0),MATCH(AV$1,'PERIOD 6'!$L$4:$N$4,0))</f>
        <v>#REF!</v>
      </c>
      <c r="AW39" s="107" t="e">
        <f ca="1">OFFSET('PERIOD 6'!#REF!,MATCH($A39,'PERIOD 6'!#REF!,0),MATCH(AW$1,'PERIOD 6'!$L$4:$N$4,0))</f>
        <v>#REF!</v>
      </c>
      <c r="AX39" s="107" t="e">
        <f ca="1">OFFSET('PERIOD 6'!#REF!,MATCH($A39,'PERIOD 6'!#REF!,0),MATCH(AX$1,'PERIOD 6'!$L$4:$N$4,0))</f>
        <v>#REF!</v>
      </c>
    </row>
    <row r="40" spans="1:50" ht="10.199999999999999" outlineLevel="1" x14ac:dyDescent="0.2">
      <c r="A40" s="34" t="s">
        <v>54</v>
      </c>
      <c r="C40" s="107" t="e">
        <f ca="1">OFFSET('PERIOD 6'!#REF!,MATCH($A40,'PERIOD 6'!#REF!,0),MATCH(C$1,'PERIOD 6'!$L$4:$N$4,0))</f>
        <v>#REF!</v>
      </c>
      <c r="D40" s="107" t="e">
        <f ca="1">OFFSET('PERIOD 6'!#REF!,MATCH($A40,'PERIOD 6'!#REF!,0),MATCH(D$1,'PERIOD 6'!$L$4:$N$4,0))</f>
        <v>#REF!</v>
      </c>
      <c r="E40" s="107" t="e">
        <f ca="1">OFFSET('PERIOD 6'!#REF!,MATCH($A40,'PERIOD 6'!#REF!,0),MATCH(E$1,'PERIOD 6'!$L$4:$N$4,0))</f>
        <v>#REF!</v>
      </c>
      <c r="F40" s="107" t="e">
        <f ca="1">OFFSET('PERIOD 6'!#REF!,MATCH($A40,'PERIOD 6'!#REF!,0),MATCH(F$1,'PERIOD 6'!$L$4:$N$4,0))</f>
        <v>#REF!</v>
      </c>
      <c r="G40" s="107" t="e">
        <f ca="1">OFFSET('PERIOD 6'!#REF!,MATCH($A40,'PERIOD 6'!#REF!,0),MATCH(G$1,'PERIOD 6'!$L$4:$N$4,0))</f>
        <v>#REF!</v>
      </c>
      <c r="H40" s="107" t="e">
        <f ca="1">OFFSET('PERIOD 6'!#REF!,MATCH($A40,'PERIOD 6'!#REF!,0),MATCH(H$1,'PERIOD 6'!$L$4:$N$4,0))</f>
        <v>#REF!</v>
      </c>
      <c r="I40" s="107" t="e">
        <f ca="1">OFFSET('PERIOD 6'!#REF!,MATCH($A40,'PERIOD 6'!#REF!,0),MATCH(I$1,'PERIOD 6'!$L$4:$N$4,0))</f>
        <v>#REF!</v>
      </c>
      <c r="J40" s="107" t="e">
        <f ca="1">OFFSET('PERIOD 6'!#REF!,MATCH($A40,'PERIOD 6'!#REF!,0),MATCH(J$1,'PERIOD 6'!$L$4:$N$4,0))</f>
        <v>#REF!</v>
      </c>
      <c r="K40" s="107" t="e">
        <f ca="1">OFFSET('PERIOD 6'!#REF!,MATCH($A40,'PERIOD 6'!#REF!,0),MATCH(K$1,'PERIOD 6'!$L$4:$N$4,0))</f>
        <v>#REF!</v>
      </c>
      <c r="L40" s="107" t="e">
        <f ca="1">OFFSET('PERIOD 6'!#REF!,MATCH($A40,'PERIOD 6'!#REF!,0),MATCH(L$1,'PERIOD 6'!$L$4:$N$4,0))</f>
        <v>#REF!</v>
      </c>
      <c r="M40" s="107" t="e">
        <f ca="1">OFFSET('PERIOD 6'!#REF!,MATCH($A40,'PERIOD 6'!#REF!,0),MATCH(M$1,'PERIOD 6'!$L$4:$N$4,0))</f>
        <v>#REF!</v>
      </c>
      <c r="N40" s="107" t="e">
        <f ca="1">OFFSET('PERIOD 6'!#REF!,MATCH($A40,'PERIOD 6'!#REF!,0),MATCH(N$1,'PERIOD 6'!$L$4:$N$4,0))</f>
        <v>#REF!</v>
      </c>
      <c r="O40" s="107" t="e">
        <f ca="1">OFFSET('PERIOD 6'!#REF!,MATCH($A40,'PERIOD 6'!#REF!,0),MATCH(O$1,'PERIOD 6'!$L$4:$N$4,0))</f>
        <v>#REF!</v>
      </c>
      <c r="P40" s="107" t="e">
        <f ca="1">OFFSET('PERIOD 6'!#REF!,MATCH($A40,'PERIOD 6'!#REF!,0),MATCH(P$1,'PERIOD 6'!$L$4:$N$4,0))</f>
        <v>#REF!</v>
      </c>
      <c r="Q40" s="107" t="e">
        <f ca="1">OFFSET('PERIOD 6'!#REF!,MATCH($A40,'PERIOD 6'!#REF!,0),MATCH(Q$1,'PERIOD 6'!$L$4:$N$4,0))</f>
        <v>#REF!</v>
      </c>
      <c r="R40" s="107" t="e">
        <f ca="1">OFFSET('PERIOD 6'!#REF!,MATCH($A40,'PERIOD 6'!#REF!,0),MATCH(R$1,'PERIOD 6'!$L$4:$N$4,0))</f>
        <v>#REF!</v>
      </c>
      <c r="S40" s="107" t="e">
        <f ca="1">OFFSET('PERIOD 6'!#REF!,MATCH($A40,'PERIOD 6'!#REF!,0),MATCH(S$1,'PERIOD 6'!$L$4:$N$4,0))</f>
        <v>#REF!</v>
      </c>
      <c r="T40" s="107" t="e">
        <f ca="1">OFFSET('PERIOD 6'!#REF!,MATCH($A40,'PERIOD 6'!#REF!,0),MATCH(T$1,'PERIOD 6'!$L$4:$N$4,0))</f>
        <v>#REF!</v>
      </c>
      <c r="U40" s="107" t="e">
        <f ca="1">OFFSET('PERIOD 6'!#REF!,MATCH($A40,'PERIOD 6'!#REF!,0),MATCH(U$1,'PERIOD 6'!$L$4:$N$4,0))</f>
        <v>#REF!</v>
      </c>
      <c r="V40" s="107" t="e">
        <f ca="1">OFFSET('PERIOD 6'!#REF!,MATCH($A40,'PERIOD 6'!#REF!,0),MATCH(V$1,'PERIOD 6'!$L$4:$N$4,0))</f>
        <v>#REF!</v>
      </c>
      <c r="W40" s="107" t="e">
        <f ca="1">OFFSET('PERIOD 6'!#REF!,MATCH($A40,'PERIOD 6'!#REF!,0),MATCH(W$1,'PERIOD 6'!$L$4:$N$4,0))</f>
        <v>#REF!</v>
      </c>
      <c r="X40" s="107" t="e">
        <f ca="1">OFFSET('PERIOD 6'!#REF!,MATCH($A40,'PERIOD 6'!#REF!,0),MATCH(X$1,'PERIOD 6'!$L$4:$N$4,0))</f>
        <v>#REF!</v>
      </c>
      <c r="Y40" s="107" t="e">
        <f ca="1">OFFSET('PERIOD 6'!#REF!,MATCH($A40,'PERIOD 6'!#REF!,0),MATCH(Y$1,'PERIOD 6'!$L$4:$N$4,0))</f>
        <v>#REF!</v>
      </c>
      <c r="Z40" s="107" t="e">
        <f ca="1">OFFSET('PERIOD 6'!#REF!,MATCH($A40,'PERIOD 6'!#REF!,0),MATCH(Z$1,'PERIOD 6'!$L$4:$N$4,0))</f>
        <v>#REF!</v>
      </c>
      <c r="AA40" s="107" t="e">
        <f ca="1">OFFSET('PERIOD 6'!#REF!,MATCH($A40,'PERIOD 6'!#REF!,0),MATCH(AA$1,'PERIOD 6'!$L$4:$N$4,0))</f>
        <v>#REF!</v>
      </c>
      <c r="AB40" s="107" t="e">
        <f ca="1">OFFSET('PERIOD 6'!#REF!,MATCH($A40,'PERIOD 6'!#REF!,0),MATCH(AB$1,'PERIOD 6'!$L$4:$N$4,0))</f>
        <v>#REF!</v>
      </c>
      <c r="AC40" s="107" t="e">
        <f ca="1">OFFSET('PERIOD 6'!#REF!,MATCH($A40,'PERIOD 6'!#REF!,0),MATCH(AC$1,'PERIOD 6'!$L$4:$N$4,0))</f>
        <v>#REF!</v>
      </c>
      <c r="AD40" s="107" t="e">
        <f ca="1">OFFSET('PERIOD 6'!#REF!,MATCH($A40,'PERIOD 6'!#REF!,0),MATCH(AD$1,'PERIOD 6'!$L$4:$N$4,0))</f>
        <v>#REF!</v>
      </c>
      <c r="AE40" s="107" t="e">
        <f ca="1">OFFSET('PERIOD 6'!#REF!,MATCH($A40,'PERIOD 6'!#REF!,0),MATCH(AE$1,'PERIOD 6'!$L$4:$N$4,0))</f>
        <v>#REF!</v>
      </c>
      <c r="AF40" s="107" t="e">
        <f ca="1">OFFSET('PERIOD 6'!#REF!,MATCH($A40,'PERIOD 6'!#REF!,0),MATCH(AF$1,'PERIOD 6'!$L$4:$N$4,0))</f>
        <v>#REF!</v>
      </c>
      <c r="AG40" s="107" t="e">
        <f ca="1">OFFSET('PERIOD 6'!#REF!,MATCH($A40,'PERIOD 6'!#REF!,0),MATCH(AG$1,'PERIOD 6'!$L$4:$N$4,0))</f>
        <v>#REF!</v>
      </c>
      <c r="AH40" s="107" t="e">
        <f ca="1">OFFSET('PERIOD 6'!#REF!,MATCH($A40,'PERIOD 6'!#REF!,0),MATCH(AH$1,'PERIOD 6'!$L$4:$N$4,0))</f>
        <v>#REF!</v>
      </c>
      <c r="AI40" s="107" t="e">
        <f ca="1">OFFSET('PERIOD 6'!#REF!,MATCH($A40,'PERIOD 6'!#REF!,0),MATCH(AI$1,'PERIOD 6'!$L$4:$N$4,0))</f>
        <v>#REF!</v>
      </c>
      <c r="AJ40" s="107" t="e">
        <f ca="1">OFFSET('PERIOD 6'!#REF!,MATCH($A40,'PERIOD 6'!#REF!,0),MATCH(AJ$1,'PERIOD 6'!$L$4:$N$4,0))</f>
        <v>#REF!</v>
      </c>
      <c r="AK40" s="107" t="e">
        <f ca="1">OFFSET('PERIOD 6'!#REF!,MATCH($A40,'PERIOD 6'!#REF!,0),MATCH(AK$1,'PERIOD 6'!$L$4:$N$4,0))</f>
        <v>#REF!</v>
      </c>
      <c r="AL40" s="107" t="e">
        <f ca="1">OFFSET('PERIOD 6'!#REF!,MATCH($A40,'PERIOD 6'!#REF!,0),MATCH(AL$1,'PERIOD 6'!$L$4:$N$4,0))</f>
        <v>#REF!</v>
      </c>
      <c r="AM40" s="107" t="e">
        <f ca="1">OFFSET('PERIOD 6'!#REF!,MATCH($A40,'PERIOD 6'!#REF!,0),MATCH(AM$1,'PERIOD 6'!$L$4:$N$4,0))</f>
        <v>#REF!</v>
      </c>
      <c r="AN40" s="107" t="e">
        <f ca="1">OFFSET('PERIOD 6'!#REF!,MATCH($A40,'PERIOD 6'!#REF!,0),MATCH(AN$1,'PERIOD 6'!$L$4:$N$4,0))</f>
        <v>#REF!</v>
      </c>
      <c r="AO40" s="107" t="e">
        <f ca="1">OFFSET('PERIOD 6'!#REF!,MATCH($A40,'PERIOD 6'!#REF!,0),MATCH(AO$1,'PERIOD 6'!$L$4:$N$4,0))</f>
        <v>#REF!</v>
      </c>
      <c r="AP40" s="107" t="e">
        <f ca="1">OFFSET('PERIOD 6'!#REF!,MATCH($A40,'PERIOD 6'!#REF!,0),MATCH(AP$1,'PERIOD 6'!$L$4:$N$4,0))</f>
        <v>#REF!</v>
      </c>
      <c r="AQ40" s="107" t="e">
        <f ca="1">OFFSET('PERIOD 6'!#REF!,MATCH($A40,'PERIOD 6'!#REF!,0),MATCH(AQ$1,'PERIOD 6'!$L$4:$N$4,0))</f>
        <v>#REF!</v>
      </c>
      <c r="AR40" s="107" t="e">
        <f ca="1">OFFSET('PERIOD 6'!#REF!,MATCH($A40,'PERIOD 6'!#REF!,0),MATCH(AR$1,'PERIOD 6'!$L$4:$N$4,0))</f>
        <v>#REF!</v>
      </c>
      <c r="AS40" s="107" t="e">
        <f ca="1">OFFSET('PERIOD 6'!#REF!,MATCH($A40,'PERIOD 6'!#REF!,0),MATCH(AS$1,'PERIOD 6'!$L$4:$N$4,0))</f>
        <v>#REF!</v>
      </c>
      <c r="AT40" s="107" t="e">
        <f ca="1">OFFSET('PERIOD 6'!#REF!,MATCH($A40,'PERIOD 6'!#REF!,0),MATCH(AT$1,'PERIOD 6'!$L$4:$N$4,0))</f>
        <v>#REF!</v>
      </c>
      <c r="AU40" s="107" t="e">
        <f ca="1">OFFSET('PERIOD 6'!#REF!,MATCH($A40,'PERIOD 6'!#REF!,0),MATCH(AU$1,'PERIOD 6'!$L$4:$N$4,0))</f>
        <v>#REF!</v>
      </c>
      <c r="AV40" s="107" t="e">
        <f ca="1">OFFSET('PERIOD 6'!#REF!,MATCH($A40,'PERIOD 6'!#REF!,0),MATCH(AV$1,'PERIOD 6'!$L$4:$N$4,0))</f>
        <v>#REF!</v>
      </c>
      <c r="AW40" s="107" t="e">
        <f ca="1">OFFSET('PERIOD 6'!#REF!,MATCH($A40,'PERIOD 6'!#REF!,0),MATCH(AW$1,'PERIOD 6'!$L$4:$N$4,0))</f>
        <v>#REF!</v>
      </c>
      <c r="AX40" s="107" t="e">
        <f ca="1">OFFSET('PERIOD 6'!#REF!,MATCH($A40,'PERIOD 6'!#REF!,0),MATCH(AX$1,'PERIOD 6'!$L$4:$N$4,0))</f>
        <v>#REF!</v>
      </c>
    </row>
    <row r="41" spans="1:50" ht="10.199999999999999" outlineLevel="1" x14ac:dyDescent="0.2">
      <c r="A41" s="34" t="s">
        <v>36</v>
      </c>
      <c r="C41" s="107" t="e">
        <f ca="1">OFFSET('PERIOD 6'!#REF!,MATCH($A41,'PERIOD 6'!#REF!,0),MATCH(C$1,'PERIOD 6'!$L$4:$N$4,0))</f>
        <v>#REF!</v>
      </c>
      <c r="D41" s="107" t="e">
        <f ca="1">OFFSET('PERIOD 6'!#REF!,MATCH($A41,'PERIOD 6'!#REF!,0),MATCH(D$1,'PERIOD 6'!$L$4:$N$4,0))</f>
        <v>#REF!</v>
      </c>
      <c r="E41" s="107" t="e">
        <f ca="1">OFFSET('PERIOD 6'!#REF!,MATCH($A41,'PERIOD 6'!#REF!,0),MATCH(E$1,'PERIOD 6'!$L$4:$N$4,0))</f>
        <v>#REF!</v>
      </c>
      <c r="F41" s="107" t="e">
        <f ca="1">OFFSET('PERIOD 6'!#REF!,MATCH($A41,'PERIOD 6'!#REF!,0),MATCH(F$1,'PERIOD 6'!$L$4:$N$4,0))</f>
        <v>#REF!</v>
      </c>
      <c r="G41" s="107" t="e">
        <f ca="1">OFFSET('PERIOD 6'!#REF!,MATCH($A41,'PERIOD 6'!#REF!,0),MATCH(G$1,'PERIOD 6'!$L$4:$N$4,0))</f>
        <v>#REF!</v>
      </c>
      <c r="H41" s="107" t="e">
        <f ca="1">OFFSET('PERIOD 6'!#REF!,MATCH($A41,'PERIOD 6'!#REF!,0),MATCH(H$1,'PERIOD 6'!$L$4:$N$4,0))</f>
        <v>#REF!</v>
      </c>
      <c r="I41" s="107" t="e">
        <f ca="1">OFFSET('PERIOD 6'!#REF!,MATCH($A41,'PERIOD 6'!#REF!,0),MATCH(I$1,'PERIOD 6'!$L$4:$N$4,0))</f>
        <v>#REF!</v>
      </c>
      <c r="J41" s="107" t="e">
        <f ca="1">OFFSET('PERIOD 6'!#REF!,MATCH($A41,'PERIOD 6'!#REF!,0),MATCH(J$1,'PERIOD 6'!$L$4:$N$4,0))</f>
        <v>#REF!</v>
      </c>
      <c r="K41" s="107" t="e">
        <f ca="1">OFFSET('PERIOD 6'!#REF!,MATCH($A41,'PERIOD 6'!#REF!,0),MATCH(K$1,'PERIOD 6'!$L$4:$N$4,0))</f>
        <v>#REF!</v>
      </c>
      <c r="L41" s="107" t="e">
        <f ca="1">OFFSET('PERIOD 6'!#REF!,MATCH($A41,'PERIOD 6'!#REF!,0),MATCH(L$1,'PERIOD 6'!$L$4:$N$4,0))</f>
        <v>#REF!</v>
      </c>
      <c r="M41" s="107" t="e">
        <f ca="1">OFFSET('PERIOD 6'!#REF!,MATCH($A41,'PERIOD 6'!#REF!,0),MATCH(M$1,'PERIOD 6'!$L$4:$N$4,0))</f>
        <v>#REF!</v>
      </c>
      <c r="N41" s="107" t="e">
        <f ca="1">OFFSET('PERIOD 6'!#REF!,MATCH($A41,'PERIOD 6'!#REF!,0),MATCH(N$1,'PERIOD 6'!$L$4:$N$4,0))</f>
        <v>#REF!</v>
      </c>
      <c r="O41" s="107" t="e">
        <f ca="1">OFFSET('PERIOD 6'!#REF!,MATCH($A41,'PERIOD 6'!#REF!,0),MATCH(O$1,'PERIOD 6'!$L$4:$N$4,0))</f>
        <v>#REF!</v>
      </c>
      <c r="P41" s="107" t="e">
        <f ca="1">OFFSET('PERIOD 6'!#REF!,MATCH($A41,'PERIOD 6'!#REF!,0),MATCH(P$1,'PERIOD 6'!$L$4:$N$4,0))</f>
        <v>#REF!</v>
      </c>
      <c r="Q41" s="107" t="e">
        <f ca="1">OFFSET('PERIOD 6'!#REF!,MATCH($A41,'PERIOD 6'!#REF!,0),MATCH(Q$1,'PERIOD 6'!$L$4:$N$4,0))</f>
        <v>#REF!</v>
      </c>
      <c r="R41" s="107" t="e">
        <f ca="1">OFFSET('PERIOD 6'!#REF!,MATCH($A41,'PERIOD 6'!#REF!,0),MATCH(R$1,'PERIOD 6'!$L$4:$N$4,0))</f>
        <v>#REF!</v>
      </c>
      <c r="S41" s="107" t="e">
        <f ca="1">OFFSET('PERIOD 6'!#REF!,MATCH($A41,'PERIOD 6'!#REF!,0),MATCH(S$1,'PERIOD 6'!$L$4:$N$4,0))</f>
        <v>#REF!</v>
      </c>
      <c r="T41" s="107" t="e">
        <f ca="1">OFFSET('PERIOD 6'!#REF!,MATCH($A41,'PERIOD 6'!#REF!,0),MATCH(T$1,'PERIOD 6'!$L$4:$N$4,0))</f>
        <v>#REF!</v>
      </c>
      <c r="U41" s="107" t="e">
        <f ca="1">OFFSET('PERIOD 6'!#REF!,MATCH($A41,'PERIOD 6'!#REF!,0),MATCH(U$1,'PERIOD 6'!$L$4:$N$4,0))</f>
        <v>#REF!</v>
      </c>
      <c r="V41" s="107" t="e">
        <f ca="1">OFFSET('PERIOD 6'!#REF!,MATCH($A41,'PERIOD 6'!#REF!,0),MATCH(V$1,'PERIOD 6'!$L$4:$N$4,0))</f>
        <v>#REF!</v>
      </c>
      <c r="W41" s="107" t="e">
        <f ca="1">OFFSET('PERIOD 6'!#REF!,MATCH($A41,'PERIOD 6'!#REF!,0),MATCH(W$1,'PERIOD 6'!$L$4:$N$4,0))</f>
        <v>#REF!</v>
      </c>
      <c r="X41" s="107" t="e">
        <f ca="1">OFFSET('PERIOD 6'!#REF!,MATCH($A41,'PERIOD 6'!#REF!,0),MATCH(X$1,'PERIOD 6'!$L$4:$N$4,0))</f>
        <v>#REF!</v>
      </c>
      <c r="Y41" s="107" t="e">
        <f ca="1">OFFSET('PERIOD 6'!#REF!,MATCH($A41,'PERIOD 6'!#REF!,0),MATCH(Y$1,'PERIOD 6'!$L$4:$N$4,0))</f>
        <v>#REF!</v>
      </c>
      <c r="Z41" s="107" t="e">
        <f ca="1">OFFSET('PERIOD 6'!#REF!,MATCH($A41,'PERIOD 6'!#REF!,0),MATCH(Z$1,'PERIOD 6'!$L$4:$N$4,0))</f>
        <v>#REF!</v>
      </c>
      <c r="AA41" s="107" t="e">
        <f ca="1">OFFSET('PERIOD 6'!#REF!,MATCH($A41,'PERIOD 6'!#REF!,0),MATCH(AA$1,'PERIOD 6'!$L$4:$N$4,0))</f>
        <v>#REF!</v>
      </c>
      <c r="AB41" s="107" t="e">
        <f ca="1">OFFSET('PERIOD 6'!#REF!,MATCH($A41,'PERIOD 6'!#REF!,0),MATCH(AB$1,'PERIOD 6'!$L$4:$N$4,0))</f>
        <v>#REF!</v>
      </c>
      <c r="AC41" s="107" t="e">
        <f ca="1">OFFSET('PERIOD 6'!#REF!,MATCH($A41,'PERIOD 6'!#REF!,0),MATCH(AC$1,'PERIOD 6'!$L$4:$N$4,0))</f>
        <v>#REF!</v>
      </c>
      <c r="AD41" s="107" t="e">
        <f ca="1">OFFSET('PERIOD 6'!#REF!,MATCH($A41,'PERIOD 6'!#REF!,0),MATCH(AD$1,'PERIOD 6'!$L$4:$N$4,0))</f>
        <v>#REF!</v>
      </c>
      <c r="AE41" s="107" t="e">
        <f ca="1">OFFSET('PERIOD 6'!#REF!,MATCH($A41,'PERIOD 6'!#REF!,0),MATCH(AE$1,'PERIOD 6'!$L$4:$N$4,0))</f>
        <v>#REF!</v>
      </c>
      <c r="AF41" s="107" t="e">
        <f ca="1">OFFSET('PERIOD 6'!#REF!,MATCH($A41,'PERIOD 6'!#REF!,0),MATCH(AF$1,'PERIOD 6'!$L$4:$N$4,0))</f>
        <v>#REF!</v>
      </c>
      <c r="AG41" s="107" t="e">
        <f ca="1">OFFSET('PERIOD 6'!#REF!,MATCH($A41,'PERIOD 6'!#REF!,0),MATCH(AG$1,'PERIOD 6'!$L$4:$N$4,0))</f>
        <v>#REF!</v>
      </c>
      <c r="AH41" s="107" t="e">
        <f ca="1">OFFSET('PERIOD 6'!#REF!,MATCH($A41,'PERIOD 6'!#REF!,0),MATCH(AH$1,'PERIOD 6'!$L$4:$N$4,0))</f>
        <v>#REF!</v>
      </c>
      <c r="AI41" s="107" t="e">
        <f ca="1">OFFSET('PERIOD 6'!#REF!,MATCH($A41,'PERIOD 6'!#REF!,0),MATCH(AI$1,'PERIOD 6'!$L$4:$N$4,0))</f>
        <v>#REF!</v>
      </c>
      <c r="AJ41" s="107" t="e">
        <f ca="1">OFFSET('PERIOD 6'!#REF!,MATCH($A41,'PERIOD 6'!#REF!,0),MATCH(AJ$1,'PERIOD 6'!$L$4:$N$4,0))</f>
        <v>#REF!</v>
      </c>
      <c r="AK41" s="107" t="e">
        <f ca="1">OFFSET('PERIOD 6'!#REF!,MATCH($A41,'PERIOD 6'!#REF!,0),MATCH(AK$1,'PERIOD 6'!$L$4:$N$4,0))</f>
        <v>#REF!</v>
      </c>
      <c r="AL41" s="107" t="e">
        <f ca="1">OFFSET('PERIOD 6'!#REF!,MATCH($A41,'PERIOD 6'!#REF!,0),MATCH(AL$1,'PERIOD 6'!$L$4:$N$4,0))</f>
        <v>#REF!</v>
      </c>
      <c r="AM41" s="107" t="e">
        <f ca="1">OFFSET('PERIOD 6'!#REF!,MATCH($A41,'PERIOD 6'!#REF!,0),MATCH(AM$1,'PERIOD 6'!$L$4:$N$4,0))</f>
        <v>#REF!</v>
      </c>
      <c r="AN41" s="107" t="e">
        <f ca="1">OFFSET('PERIOD 6'!#REF!,MATCH($A41,'PERIOD 6'!#REF!,0),MATCH(AN$1,'PERIOD 6'!$L$4:$N$4,0))</f>
        <v>#REF!</v>
      </c>
      <c r="AO41" s="107" t="e">
        <f ca="1">OFFSET('PERIOD 6'!#REF!,MATCH($A41,'PERIOD 6'!#REF!,0),MATCH(AO$1,'PERIOD 6'!$L$4:$N$4,0))</f>
        <v>#REF!</v>
      </c>
      <c r="AP41" s="107" t="e">
        <f ca="1">OFFSET('PERIOD 6'!#REF!,MATCH($A41,'PERIOD 6'!#REF!,0),MATCH(AP$1,'PERIOD 6'!$L$4:$N$4,0))</f>
        <v>#REF!</v>
      </c>
      <c r="AQ41" s="107" t="e">
        <f ca="1">OFFSET('PERIOD 6'!#REF!,MATCH($A41,'PERIOD 6'!#REF!,0),MATCH(AQ$1,'PERIOD 6'!$L$4:$N$4,0))</f>
        <v>#REF!</v>
      </c>
      <c r="AR41" s="107" t="e">
        <f ca="1">OFFSET('PERIOD 6'!#REF!,MATCH($A41,'PERIOD 6'!#REF!,0),MATCH(AR$1,'PERIOD 6'!$L$4:$N$4,0))</f>
        <v>#REF!</v>
      </c>
      <c r="AS41" s="107" t="e">
        <f ca="1">OFFSET('PERIOD 6'!#REF!,MATCH($A41,'PERIOD 6'!#REF!,0),MATCH(AS$1,'PERIOD 6'!$L$4:$N$4,0))</f>
        <v>#REF!</v>
      </c>
      <c r="AT41" s="107" t="e">
        <f ca="1">OFFSET('PERIOD 6'!#REF!,MATCH($A41,'PERIOD 6'!#REF!,0),MATCH(AT$1,'PERIOD 6'!$L$4:$N$4,0))</f>
        <v>#REF!</v>
      </c>
      <c r="AU41" s="107" t="e">
        <f ca="1">OFFSET('PERIOD 6'!#REF!,MATCH($A41,'PERIOD 6'!#REF!,0),MATCH(AU$1,'PERIOD 6'!$L$4:$N$4,0))</f>
        <v>#REF!</v>
      </c>
      <c r="AV41" s="107" t="e">
        <f ca="1">OFFSET('PERIOD 6'!#REF!,MATCH($A41,'PERIOD 6'!#REF!,0),MATCH(AV$1,'PERIOD 6'!$L$4:$N$4,0))</f>
        <v>#REF!</v>
      </c>
      <c r="AW41" s="107" t="e">
        <f ca="1">OFFSET('PERIOD 6'!#REF!,MATCH($A41,'PERIOD 6'!#REF!,0),MATCH(AW$1,'PERIOD 6'!$L$4:$N$4,0))</f>
        <v>#REF!</v>
      </c>
      <c r="AX41" s="107" t="e">
        <f ca="1">OFFSET('PERIOD 6'!#REF!,MATCH($A41,'PERIOD 6'!#REF!,0),MATCH(AX$1,'PERIOD 6'!$L$4:$N$4,0))</f>
        <v>#REF!</v>
      </c>
    </row>
    <row r="42" spans="1:50" ht="10.199999999999999" outlineLevel="1" x14ac:dyDescent="0.2">
      <c r="A42" s="38" t="s">
        <v>40</v>
      </c>
      <c r="B42" s="38"/>
      <c r="C42" s="40" t="e">
        <f ca="1">SUM(C39:C41)</f>
        <v>#REF!</v>
      </c>
      <c r="D42" s="40" t="e">
        <f t="shared" ref="D42:W42" ca="1" si="10">SUM(D39:D41)</f>
        <v>#REF!</v>
      </c>
      <c r="E42" s="40" t="e">
        <f t="shared" ca="1" si="10"/>
        <v>#REF!</v>
      </c>
      <c r="F42" s="40" t="e">
        <f t="shared" ca="1" si="10"/>
        <v>#REF!</v>
      </c>
      <c r="G42" s="40" t="e">
        <f t="shared" ca="1" si="10"/>
        <v>#REF!</v>
      </c>
      <c r="H42" s="40" t="e">
        <f t="shared" ca="1" si="10"/>
        <v>#REF!</v>
      </c>
      <c r="I42" s="40" t="e">
        <f t="shared" ca="1" si="10"/>
        <v>#REF!</v>
      </c>
      <c r="J42" s="40" t="e">
        <f t="shared" ca="1" si="10"/>
        <v>#REF!</v>
      </c>
      <c r="K42" s="40" t="e">
        <f t="shared" ca="1" si="10"/>
        <v>#REF!</v>
      </c>
      <c r="L42" s="40" t="e">
        <f ca="1">SUM(L39:L41)</f>
        <v>#REF!</v>
      </c>
      <c r="M42" s="40" t="e">
        <f t="shared" ca="1" si="10"/>
        <v>#REF!</v>
      </c>
      <c r="N42" s="40" t="e">
        <f t="shared" ca="1" si="10"/>
        <v>#REF!</v>
      </c>
      <c r="O42" s="40" t="e">
        <f t="shared" ca="1" si="10"/>
        <v>#REF!</v>
      </c>
      <c r="P42" s="40" t="e">
        <f t="shared" ca="1" si="10"/>
        <v>#REF!</v>
      </c>
      <c r="Q42" s="40" t="e">
        <f t="shared" ca="1" si="10"/>
        <v>#REF!</v>
      </c>
      <c r="R42" s="40" t="e">
        <f t="shared" ca="1" si="10"/>
        <v>#REF!</v>
      </c>
      <c r="S42" s="40" t="e">
        <f ca="1">SUM(S39:S41)</f>
        <v>#REF!</v>
      </c>
      <c r="T42" s="40" t="e">
        <f ca="1">SUM(T39:T41)</f>
        <v>#REF!</v>
      </c>
      <c r="U42" s="40" t="e">
        <f ca="1">SUM(U39:U41)</f>
        <v>#REF!</v>
      </c>
      <c r="V42" s="40" t="e">
        <f t="shared" ca="1" si="10"/>
        <v>#REF!</v>
      </c>
      <c r="W42" s="40" t="e">
        <f t="shared" ca="1" si="10"/>
        <v>#REF!</v>
      </c>
      <c r="X42" s="40" t="e">
        <f ca="1">SUM(X39:X41)</f>
        <v>#REF!</v>
      </c>
      <c r="Y42" s="40" t="e">
        <f t="shared" ref="Y42:AX42" ca="1" si="11">SUM(Y39:Y41)</f>
        <v>#REF!</v>
      </c>
      <c r="Z42" s="40" t="e">
        <f t="shared" ca="1" si="11"/>
        <v>#REF!</v>
      </c>
      <c r="AA42" s="40" t="e">
        <f t="shared" ca="1" si="11"/>
        <v>#REF!</v>
      </c>
      <c r="AB42" s="40" t="e">
        <f t="shared" ca="1" si="11"/>
        <v>#REF!</v>
      </c>
      <c r="AC42" s="40" t="e">
        <f t="shared" ca="1" si="11"/>
        <v>#REF!</v>
      </c>
      <c r="AD42" s="40" t="e">
        <f t="shared" ca="1" si="11"/>
        <v>#REF!</v>
      </c>
      <c r="AE42" s="40" t="e">
        <f t="shared" ca="1" si="11"/>
        <v>#REF!</v>
      </c>
      <c r="AF42" s="40" t="e">
        <f t="shared" ca="1" si="11"/>
        <v>#REF!</v>
      </c>
      <c r="AG42" s="40" t="e">
        <f t="shared" ca="1" si="11"/>
        <v>#REF!</v>
      </c>
      <c r="AH42" s="40" t="e">
        <f t="shared" ca="1" si="11"/>
        <v>#REF!</v>
      </c>
      <c r="AI42" s="40" t="e">
        <f t="shared" ca="1" si="11"/>
        <v>#REF!</v>
      </c>
      <c r="AJ42" s="40" t="e">
        <f t="shared" ca="1" si="11"/>
        <v>#REF!</v>
      </c>
      <c r="AK42" s="40" t="e">
        <f t="shared" ca="1" si="11"/>
        <v>#REF!</v>
      </c>
      <c r="AL42" s="40" t="e">
        <f t="shared" ca="1" si="11"/>
        <v>#REF!</v>
      </c>
      <c r="AM42" s="40" t="e">
        <f t="shared" ca="1" si="11"/>
        <v>#REF!</v>
      </c>
      <c r="AN42" s="40" t="e">
        <f t="shared" ca="1" si="11"/>
        <v>#REF!</v>
      </c>
      <c r="AO42" s="40" t="e">
        <f t="shared" ca="1" si="11"/>
        <v>#REF!</v>
      </c>
      <c r="AP42" s="40" t="e">
        <f t="shared" ca="1" si="11"/>
        <v>#REF!</v>
      </c>
      <c r="AQ42" s="40" t="e">
        <f t="shared" ca="1" si="11"/>
        <v>#REF!</v>
      </c>
      <c r="AR42" s="40" t="e">
        <f t="shared" ca="1" si="11"/>
        <v>#REF!</v>
      </c>
      <c r="AS42" s="40" t="e">
        <f t="shared" ca="1" si="11"/>
        <v>#REF!</v>
      </c>
      <c r="AT42" s="40" t="e">
        <f t="shared" ca="1" si="11"/>
        <v>#REF!</v>
      </c>
      <c r="AU42" s="40" t="e">
        <f t="shared" ca="1" si="11"/>
        <v>#REF!</v>
      </c>
      <c r="AV42" s="40" t="e">
        <f t="shared" ca="1" si="11"/>
        <v>#REF!</v>
      </c>
      <c r="AW42" s="40" t="e">
        <f t="shared" ca="1" si="11"/>
        <v>#REF!</v>
      </c>
      <c r="AX42" s="40" t="e">
        <f t="shared" ca="1" si="11"/>
        <v>#REF!</v>
      </c>
    </row>
    <row r="43" spans="1:50" ht="10.199999999999999" outlineLevel="1" x14ac:dyDescent="0.2">
      <c r="A43" s="38"/>
      <c r="B43" s="38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Y43" s="34"/>
    </row>
    <row r="44" spans="1:50" ht="10.199999999999999" x14ac:dyDescent="0.2">
      <c r="A44" s="41"/>
      <c r="B44" s="41"/>
      <c r="C44" s="41"/>
      <c r="D44" s="42"/>
      <c r="E44" s="41"/>
      <c r="F44" s="42"/>
      <c r="G44" s="42"/>
      <c r="H44" s="42"/>
      <c r="I44" s="42"/>
      <c r="J44" s="42"/>
      <c r="K44" s="42"/>
      <c r="L44" s="42"/>
      <c r="M44" s="41"/>
      <c r="N44" s="41"/>
      <c r="O44" s="41"/>
      <c r="P44" s="42"/>
      <c r="Q44" s="41"/>
      <c r="R44" s="42"/>
      <c r="S44" s="42"/>
      <c r="T44" s="42"/>
      <c r="U44" s="41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</row>
    <row r="45" spans="1:50" ht="10.199999999999999" x14ac:dyDescent="0.2">
      <c r="A45" s="93" t="s">
        <v>103</v>
      </c>
      <c r="B45" s="94"/>
      <c r="C45" s="92" t="e">
        <f ca="1">C42+C35+C28+C21+C14+C7</f>
        <v>#REF!</v>
      </c>
      <c r="D45" s="92" t="e">
        <f t="shared" ref="D45:W45" ca="1" si="12">D42+D35+D28+D21+D14+D7</f>
        <v>#REF!</v>
      </c>
      <c r="E45" s="92" t="e">
        <f t="shared" ca="1" si="12"/>
        <v>#REF!</v>
      </c>
      <c r="F45" s="92" t="e">
        <f t="shared" ca="1" si="12"/>
        <v>#REF!</v>
      </c>
      <c r="G45" s="92" t="e">
        <f t="shared" ca="1" si="12"/>
        <v>#REF!</v>
      </c>
      <c r="H45" s="92" t="e">
        <f t="shared" ca="1" si="12"/>
        <v>#REF!</v>
      </c>
      <c r="I45" s="92" t="e">
        <f t="shared" ca="1" si="12"/>
        <v>#REF!</v>
      </c>
      <c r="J45" s="92" t="e">
        <f t="shared" ca="1" si="12"/>
        <v>#REF!</v>
      </c>
      <c r="K45" s="92" t="e">
        <f t="shared" ca="1" si="12"/>
        <v>#REF!</v>
      </c>
      <c r="L45" s="92" t="e">
        <f ca="1">L42+L35+L28+L21+L14+L7</f>
        <v>#REF!</v>
      </c>
      <c r="M45" s="92" t="e">
        <f t="shared" ca="1" si="12"/>
        <v>#REF!</v>
      </c>
      <c r="N45" s="92" t="e">
        <f t="shared" ca="1" si="12"/>
        <v>#REF!</v>
      </c>
      <c r="O45" s="92" t="e">
        <f t="shared" ca="1" si="12"/>
        <v>#REF!</v>
      </c>
      <c r="P45" s="92" t="e">
        <f t="shared" ca="1" si="12"/>
        <v>#REF!</v>
      </c>
      <c r="Q45" s="92" t="e">
        <f t="shared" ca="1" si="12"/>
        <v>#REF!</v>
      </c>
      <c r="R45" s="92" t="e">
        <f t="shared" ca="1" si="12"/>
        <v>#REF!</v>
      </c>
      <c r="S45" s="92" t="e">
        <f ca="1">S42+S35+S28+S21+S14+S7</f>
        <v>#REF!</v>
      </c>
      <c r="T45" s="92" t="e">
        <f ca="1">T42+T35+T28+T21+T14+T7</f>
        <v>#REF!</v>
      </c>
      <c r="U45" s="92" t="e">
        <f ca="1">U42+U35+U28+U21+U14+U7</f>
        <v>#REF!</v>
      </c>
      <c r="V45" s="92" t="e">
        <f t="shared" ca="1" si="12"/>
        <v>#REF!</v>
      </c>
      <c r="W45" s="92" t="e">
        <f t="shared" ca="1" si="12"/>
        <v>#REF!</v>
      </c>
      <c r="X45" s="92" t="e">
        <f ca="1">X42+X35+X28+X21+X14+X7</f>
        <v>#REF!</v>
      </c>
      <c r="Y45" s="92" t="e">
        <f t="shared" ref="Y45:AX45" ca="1" si="13">Y42+Y35+Y28+Y21+Y14+Y7</f>
        <v>#REF!</v>
      </c>
      <c r="Z45" s="92" t="e">
        <f t="shared" ca="1" si="13"/>
        <v>#REF!</v>
      </c>
      <c r="AA45" s="92" t="e">
        <f t="shared" ca="1" si="13"/>
        <v>#REF!</v>
      </c>
      <c r="AB45" s="92" t="e">
        <f t="shared" ca="1" si="13"/>
        <v>#REF!</v>
      </c>
      <c r="AC45" s="92" t="e">
        <f t="shared" ca="1" si="13"/>
        <v>#REF!</v>
      </c>
      <c r="AD45" s="92" t="e">
        <f t="shared" ca="1" si="13"/>
        <v>#REF!</v>
      </c>
      <c r="AE45" s="92" t="e">
        <f t="shared" ca="1" si="13"/>
        <v>#REF!</v>
      </c>
      <c r="AF45" s="92" t="e">
        <f t="shared" ca="1" si="13"/>
        <v>#REF!</v>
      </c>
      <c r="AG45" s="92" t="e">
        <f t="shared" ca="1" si="13"/>
        <v>#REF!</v>
      </c>
      <c r="AH45" s="92" t="e">
        <f t="shared" ca="1" si="13"/>
        <v>#REF!</v>
      </c>
      <c r="AI45" s="92" t="e">
        <f t="shared" ca="1" si="13"/>
        <v>#REF!</v>
      </c>
      <c r="AJ45" s="92" t="e">
        <f t="shared" ca="1" si="13"/>
        <v>#REF!</v>
      </c>
      <c r="AK45" s="92" t="e">
        <f t="shared" ca="1" si="13"/>
        <v>#REF!</v>
      </c>
      <c r="AL45" s="92" t="e">
        <f t="shared" ca="1" si="13"/>
        <v>#REF!</v>
      </c>
      <c r="AM45" s="92" t="e">
        <f t="shared" ca="1" si="13"/>
        <v>#REF!</v>
      </c>
      <c r="AN45" s="92" t="e">
        <f t="shared" ca="1" si="13"/>
        <v>#REF!</v>
      </c>
      <c r="AO45" s="92" t="e">
        <f t="shared" ca="1" si="13"/>
        <v>#REF!</v>
      </c>
      <c r="AP45" s="92" t="e">
        <f t="shared" ca="1" si="13"/>
        <v>#REF!</v>
      </c>
      <c r="AQ45" s="92" t="e">
        <f t="shared" ca="1" si="13"/>
        <v>#REF!</v>
      </c>
      <c r="AR45" s="92" t="e">
        <f t="shared" ca="1" si="13"/>
        <v>#REF!</v>
      </c>
      <c r="AS45" s="92" t="e">
        <f t="shared" ca="1" si="13"/>
        <v>#REF!</v>
      </c>
      <c r="AT45" s="92" t="e">
        <f t="shared" ca="1" si="13"/>
        <v>#REF!</v>
      </c>
      <c r="AU45" s="92" t="e">
        <f t="shared" ca="1" si="13"/>
        <v>#REF!</v>
      </c>
      <c r="AV45" s="92" t="e">
        <f t="shared" ca="1" si="13"/>
        <v>#REF!</v>
      </c>
      <c r="AW45" s="92" t="e">
        <f t="shared" ca="1" si="13"/>
        <v>#REF!</v>
      </c>
      <c r="AX45" s="92" t="e">
        <f t="shared" ca="1" si="13"/>
        <v>#REF!</v>
      </c>
    </row>
    <row r="46" spans="1:50" ht="8.25" customHeight="1" x14ac:dyDescent="0.2">
      <c r="A46" s="43"/>
      <c r="B46" s="43"/>
      <c r="C46" s="43"/>
      <c r="D46" s="45"/>
      <c r="E46" s="46"/>
      <c r="F46" s="45"/>
      <c r="G46" s="45"/>
      <c r="H46" s="45"/>
      <c r="I46" s="45"/>
      <c r="J46" s="45"/>
      <c r="K46" s="45"/>
      <c r="L46" s="45"/>
      <c r="M46" s="46"/>
      <c r="N46" s="46"/>
      <c r="O46" s="46"/>
      <c r="P46" s="45"/>
      <c r="Q46" s="46"/>
      <c r="R46" s="45"/>
      <c r="S46" s="45"/>
      <c r="T46" s="45"/>
      <c r="U46" s="46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</row>
    <row r="47" spans="1:50" ht="10.199999999999999" x14ac:dyDescent="0.2">
      <c r="A47" s="52" t="s">
        <v>47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</row>
    <row r="48" spans="1:50" ht="10.199999999999999" x14ac:dyDescent="0.2">
      <c r="A48" s="121" t="s">
        <v>9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</row>
    <row r="49" spans="1:50" ht="10.199999999999999" x14ac:dyDescent="0.2">
      <c r="A49" s="122" t="s">
        <v>59</v>
      </c>
      <c r="B49" s="49"/>
      <c r="C49" s="49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</row>
    <row r="50" spans="1:50" ht="10.199999999999999" x14ac:dyDescent="0.2">
      <c r="A50" s="49" t="s">
        <v>15</v>
      </c>
      <c r="B50" s="49"/>
      <c r="C50" s="49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</row>
    <row r="51" spans="1:50" ht="10.199999999999999" x14ac:dyDescent="0.2">
      <c r="A51" s="122" t="s">
        <v>8</v>
      </c>
      <c r="B51" s="49"/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</row>
    <row r="52" spans="1:50" ht="10.199999999999999" x14ac:dyDescent="0.2">
      <c r="A52" s="122" t="s">
        <v>7</v>
      </c>
      <c r="B52" s="49"/>
      <c r="C52" s="50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</row>
    <row r="53" spans="1:50" ht="10.199999999999999" x14ac:dyDescent="0.2">
      <c r="A53" s="122" t="s">
        <v>96</v>
      </c>
      <c r="B53" s="49"/>
      <c r="C53" s="50"/>
      <c r="D53" s="48"/>
      <c r="E53" s="48"/>
      <c r="F53" s="51"/>
      <c r="G53" s="51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</row>
    <row r="54" spans="1:50" ht="10.199999999999999" x14ac:dyDescent="0.2">
      <c r="A54" s="123" t="s">
        <v>97</v>
      </c>
      <c r="B54" s="49"/>
      <c r="C54" s="50"/>
      <c r="D54" s="48"/>
      <c r="E54" s="48"/>
      <c r="F54" s="48"/>
      <c r="G54" s="48"/>
      <c r="H54" s="48"/>
      <c r="I54" s="52"/>
      <c r="J54" s="52"/>
      <c r="K54" s="48"/>
      <c r="L54" s="52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</row>
    <row r="55" spans="1:50" ht="10.199999999999999" x14ac:dyDescent="0.2">
      <c r="A55" s="123" t="s">
        <v>123</v>
      </c>
      <c r="B55" s="49"/>
      <c r="C55" s="50"/>
      <c r="D55" s="48"/>
      <c r="E55" s="48"/>
      <c r="F55" s="48"/>
      <c r="G55" s="48"/>
      <c r="H55" s="48"/>
      <c r="I55" s="52"/>
      <c r="J55" s="52"/>
      <c r="K55" s="48"/>
      <c r="L55" s="52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</row>
    <row r="56" spans="1:50" ht="10.199999999999999" x14ac:dyDescent="0.2">
      <c r="A56" s="123" t="s">
        <v>85</v>
      </c>
      <c r="B56" s="49"/>
      <c r="C56" s="50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</row>
    <row r="57" spans="1:50" ht="10.199999999999999" x14ac:dyDescent="0.2">
      <c r="A57" s="123" t="s">
        <v>57</v>
      </c>
      <c r="B57" s="49"/>
      <c r="C57" s="50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</row>
    <row r="58" spans="1:50" ht="10.199999999999999" x14ac:dyDescent="0.2">
      <c r="A58" s="122" t="s">
        <v>85</v>
      </c>
      <c r="B58" s="49"/>
      <c r="C58" s="50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</row>
    <row r="59" spans="1:50" ht="10.199999999999999" x14ac:dyDescent="0.2">
      <c r="A59" s="124" t="s">
        <v>23</v>
      </c>
      <c r="B59" s="49"/>
      <c r="C59" s="83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</row>
    <row r="60" spans="1:50" ht="10.199999999999999" x14ac:dyDescent="0.2">
      <c r="A60" s="124" t="s">
        <v>25</v>
      </c>
      <c r="B60" s="49"/>
      <c r="C60" s="106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</row>
    <row r="61" spans="1:50" ht="10.199999999999999" x14ac:dyDescent="0.2">
      <c r="A61" s="124" t="s">
        <v>26</v>
      </c>
      <c r="B61" s="49"/>
      <c r="C61" s="106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</row>
    <row r="62" spans="1:50" ht="10.199999999999999" x14ac:dyDescent="0.2">
      <c r="A62" s="124" t="s">
        <v>64</v>
      </c>
      <c r="B62" s="49"/>
      <c r="C62" s="106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</row>
    <row r="63" spans="1:50" ht="10.199999999999999" x14ac:dyDescent="0.2">
      <c r="A63" s="124" t="s">
        <v>6</v>
      </c>
      <c r="B63" s="49"/>
      <c r="C63" s="106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</row>
    <row r="64" spans="1:50" ht="10.199999999999999" x14ac:dyDescent="0.2">
      <c r="A64" s="124" t="s">
        <v>126</v>
      </c>
      <c r="B64" s="49"/>
      <c r="C64" s="118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</row>
    <row r="65" spans="1:50" ht="10.199999999999999" x14ac:dyDescent="0.2">
      <c r="A65" s="124" t="s">
        <v>105</v>
      </c>
      <c r="B65" s="49"/>
      <c r="C65" s="118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</row>
    <row r="66" spans="1:50" ht="10.199999999999999" x14ac:dyDescent="0.2">
      <c r="A66" s="125" t="s">
        <v>58</v>
      </c>
      <c r="B66" s="53"/>
      <c r="C66" s="53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</row>
    <row r="67" spans="1:50" ht="10.199999999999999" x14ac:dyDescent="0.2">
      <c r="A67" s="111"/>
      <c r="B67" s="112"/>
      <c r="C67" s="112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</row>
    <row r="68" spans="1:50" ht="10.199999999999999" x14ac:dyDescent="0.2">
      <c r="A68" s="95" t="s">
        <v>51</v>
      </c>
      <c r="B68" s="95"/>
      <c r="C68" s="96">
        <f t="shared" ref="C68:W68" si="14">SUM(C47:C67)</f>
        <v>0</v>
      </c>
      <c r="D68" s="96">
        <f t="shared" si="14"/>
        <v>0</v>
      </c>
      <c r="E68" s="96">
        <f t="shared" si="14"/>
        <v>0</v>
      </c>
      <c r="F68" s="96">
        <f t="shared" si="14"/>
        <v>0</v>
      </c>
      <c r="G68" s="96">
        <f t="shared" si="14"/>
        <v>0</v>
      </c>
      <c r="H68" s="96">
        <f t="shared" si="14"/>
        <v>0</v>
      </c>
      <c r="I68" s="96">
        <f t="shared" si="14"/>
        <v>0</v>
      </c>
      <c r="J68" s="96">
        <f t="shared" si="14"/>
        <v>0</v>
      </c>
      <c r="K68" s="96">
        <f t="shared" si="14"/>
        <v>0</v>
      </c>
      <c r="L68" s="96">
        <f t="shared" si="14"/>
        <v>0</v>
      </c>
      <c r="M68" s="96">
        <f t="shared" si="14"/>
        <v>0</v>
      </c>
      <c r="N68" s="96">
        <f t="shared" si="14"/>
        <v>0</v>
      </c>
      <c r="O68" s="96">
        <f t="shared" si="14"/>
        <v>0</v>
      </c>
      <c r="P68" s="96">
        <f t="shared" si="14"/>
        <v>0</v>
      </c>
      <c r="Q68" s="96">
        <f t="shared" si="14"/>
        <v>0</v>
      </c>
      <c r="R68" s="96">
        <f t="shared" si="14"/>
        <v>0</v>
      </c>
      <c r="S68" s="96">
        <f>SUM(S47:S67)</f>
        <v>0</v>
      </c>
      <c r="T68" s="96">
        <f>SUM(T47:T67)</f>
        <v>0</v>
      </c>
      <c r="U68" s="96">
        <f>SUM(U47:U67)</f>
        <v>0</v>
      </c>
      <c r="V68" s="96">
        <f t="shared" si="14"/>
        <v>0</v>
      </c>
      <c r="W68" s="96">
        <f t="shared" si="14"/>
        <v>0</v>
      </c>
      <c r="X68" s="96">
        <f>SUM(X47:X67)</f>
        <v>0</v>
      </c>
      <c r="Y68" s="96">
        <f t="shared" ref="Y68:AX68" si="15">SUM(Y47:Y67)</f>
        <v>0</v>
      </c>
      <c r="Z68" s="96">
        <f t="shared" si="15"/>
        <v>0</v>
      </c>
      <c r="AA68" s="96">
        <f t="shared" si="15"/>
        <v>0</v>
      </c>
      <c r="AB68" s="96">
        <f t="shared" si="15"/>
        <v>0</v>
      </c>
      <c r="AC68" s="96">
        <f t="shared" si="15"/>
        <v>0</v>
      </c>
      <c r="AD68" s="96">
        <f t="shared" si="15"/>
        <v>0</v>
      </c>
      <c r="AE68" s="96">
        <f t="shared" si="15"/>
        <v>0</v>
      </c>
      <c r="AF68" s="96">
        <f t="shared" si="15"/>
        <v>0</v>
      </c>
      <c r="AG68" s="96">
        <f t="shared" si="15"/>
        <v>0</v>
      </c>
      <c r="AH68" s="96">
        <f t="shared" si="15"/>
        <v>0</v>
      </c>
      <c r="AI68" s="96">
        <f t="shared" si="15"/>
        <v>0</v>
      </c>
      <c r="AJ68" s="96">
        <f t="shared" si="15"/>
        <v>0</v>
      </c>
      <c r="AK68" s="96">
        <f t="shared" si="15"/>
        <v>0</v>
      </c>
      <c r="AL68" s="96">
        <f t="shared" si="15"/>
        <v>0</v>
      </c>
      <c r="AM68" s="96">
        <f t="shared" si="15"/>
        <v>0</v>
      </c>
      <c r="AN68" s="96">
        <f t="shared" si="15"/>
        <v>0</v>
      </c>
      <c r="AO68" s="96">
        <f t="shared" si="15"/>
        <v>0</v>
      </c>
      <c r="AP68" s="96">
        <f t="shared" si="15"/>
        <v>0</v>
      </c>
      <c r="AQ68" s="96">
        <f t="shared" si="15"/>
        <v>0</v>
      </c>
      <c r="AR68" s="96">
        <f t="shared" si="15"/>
        <v>0</v>
      </c>
      <c r="AS68" s="96">
        <f t="shared" si="15"/>
        <v>0</v>
      </c>
      <c r="AT68" s="96">
        <f t="shared" si="15"/>
        <v>0</v>
      </c>
      <c r="AU68" s="96">
        <f t="shared" si="15"/>
        <v>0</v>
      </c>
      <c r="AV68" s="96">
        <f t="shared" si="15"/>
        <v>0</v>
      </c>
      <c r="AW68" s="96">
        <f t="shared" si="15"/>
        <v>0</v>
      </c>
      <c r="AX68" s="96">
        <f t="shared" si="15"/>
        <v>0</v>
      </c>
    </row>
    <row r="69" spans="1:50" ht="10.199999999999999" x14ac:dyDescent="0.2">
      <c r="A69" s="44"/>
      <c r="B69" s="55"/>
      <c r="C69" s="55"/>
      <c r="D69" s="46"/>
      <c r="E69" s="46"/>
      <c r="F69" s="45"/>
      <c r="G69" s="45"/>
      <c r="H69" s="45"/>
      <c r="I69" s="45"/>
      <c r="J69" s="45"/>
      <c r="K69" s="45"/>
      <c r="L69" s="45"/>
      <c r="M69" s="46"/>
      <c r="N69" s="46"/>
      <c r="O69" s="46"/>
      <c r="P69" s="45"/>
      <c r="Q69" s="46"/>
      <c r="R69" s="45"/>
      <c r="S69" s="45"/>
      <c r="T69" s="45"/>
      <c r="U69" s="46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</row>
    <row r="70" spans="1:50" ht="10.199999999999999" x14ac:dyDescent="0.2">
      <c r="A70" s="99" t="s">
        <v>61</v>
      </c>
      <c r="B70" s="57"/>
      <c r="C70" s="57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</row>
    <row r="71" spans="1:50" ht="10.199999999999999" x14ac:dyDescent="0.2">
      <c r="A71" s="98" t="s">
        <v>60</v>
      </c>
      <c r="B71" s="85"/>
      <c r="C71" s="85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</row>
    <row r="72" spans="1:50" ht="10.199999999999999" x14ac:dyDescent="0.2">
      <c r="A72" s="95" t="s">
        <v>49</v>
      </c>
      <c r="B72" s="95">
        <v>12</v>
      </c>
      <c r="C72" s="96">
        <f>C70*$B$72+C71*$B$72</f>
        <v>0</v>
      </c>
      <c r="D72" s="96">
        <f>D70*$B$72+D71*$B$72</f>
        <v>0</v>
      </c>
      <c r="E72" s="96">
        <f t="shared" ref="E72:W72" si="16">E70*$B$72+E71*$B$72</f>
        <v>0</v>
      </c>
      <c r="F72" s="96">
        <f t="shared" si="16"/>
        <v>0</v>
      </c>
      <c r="G72" s="96">
        <f t="shared" si="16"/>
        <v>0</v>
      </c>
      <c r="H72" s="96">
        <f t="shared" si="16"/>
        <v>0</v>
      </c>
      <c r="I72" s="96">
        <f t="shared" si="16"/>
        <v>0</v>
      </c>
      <c r="J72" s="96">
        <f t="shared" si="16"/>
        <v>0</v>
      </c>
      <c r="K72" s="96">
        <f t="shared" si="16"/>
        <v>0</v>
      </c>
      <c r="L72" s="96">
        <f>L70*$B$72+L71*$B$72</f>
        <v>0</v>
      </c>
      <c r="M72" s="96">
        <f t="shared" si="16"/>
        <v>0</v>
      </c>
      <c r="N72" s="96">
        <f t="shared" si="16"/>
        <v>0</v>
      </c>
      <c r="O72" s="96">
        <f t="shared" si="16"/>
        <v>0</v>
      </c>
      <c r="P72" s="96">
        <f t="shared" si="16"/>
        <v>0</v>
      </c>
      <c r="Q72" s="96">
        <f t="shared" si="16"/>
        <v>0</v>
      </c>
      <c r="R72" s="96">
        <f t="shared" si="16"/>
        <v>0</v>
      </c>
      <c r="S72" s="96">
        <f>S70*$B$72+S71*$B$72</f>
        <v>0</v>
      </c>
      <c r="T72" s="96">
        <f>T70*$B$72+T71*$B$72</f>
        <v>0</v>
      </c>
      <c r="U72" s="96">
        <f>U70*$B$72+U71*$B$72</f>
        <v>0</v>
      </c>
      <c r="V72" s="96">
        <f t="shared" si="16"/>
        <v>0</v>
      </c>
      <c r="W72" s="96">
        <f t="shared" si="16"/>
        <v>0</v>
      </c>
      <c r="X72" s="96">
        <f>X70*$B$72+X71*$B$72</f>
        <v>0</v>
      </c>
      <c r="Y72" s="96">
        <f t="shared" ref="Y72:AX72" si="17">Y70*$B$72+Y71*$B$72</f>
        <v>0</v>
      </c>
      <c r="Z72" s="96">
        <f t="shared" si="17"/>
        <v>0</v>
      </c>
      <c r="AA72" s="96">
        <f t="shared" si="17"/>
        <v>0</v>
      </c>
      <c r="AB72" s="96">
        <f t="shared" si="17"/>
        <v>0</v>
      </c>
      <c r="AC72" s="96">
        <f t="shared" si="17"/>
        <v>0</v>
      </c>
      <c r="AD72" s="96">
        <f t="shared" si="17"/>
        <v>0</v>
      </c>
      <c r="AE72" s="96">
        <f t="shared" si="17"/>
        <v>0</v>
      </c>
      <c r="AF72" s="96">
        <f t="shared" si="17"/>
        <v>0</v>
      </c>
      <c r="AG72" s="96">
        <f t="shared" si="17"/>
        <v>0</v>
      </c>
      <c r="AH72" s="96">
        <f t="shared" si="17"/>
        <v>0</v>
      </c>
      <c r="AI72" s="96">
        <f t="shared" si="17"/>
        <v>0</v>
      </c>
      <c r="AJ72" s="96">
        <f t="shared" si="17"/>
        <v>0</v>
      </c>
      <c r="AK72" s="96">
        <f t="shared" si="17"/>
        <v>0</v>
      </c>
      <c r="AL72" s="96">
        <f t="shared" si="17"/>
        <v>0</v>
      </c>
      <c r="AM72" s="96">
        <f t="shared" si="17"/>
        <v>0</v>
      </c>
      <c r="AN72" s="96">
        <f t="shared" si="17"/>
        <v>0</v>
      </c>
      <c r="AO72" s="96">
        <f t="shared" si="17"/>
        <v>0</v>
      </c>
      <c r="AP72" s="96">
        <f t="shared" si="17"/>
        <v>0</v>
      </c>
      <c r="AQ72" s="96">
        <f t="shared" si="17"/>
        <v>0</v>
      </c>
      <c r="AR72" s="96">
        <f t="shared" si="17"/>
        <v>0</v>
      </c>
      <c r="AS72" s="96">
        <f t="shared" si="17"/>
        <v>0</v>
      </c>
      <c r="AT72" s="96">
        <f t="shared" si="17"/>
        <v>0</v>
      </c>
      <c r="AU72" s="96">
        <f t="shared" si="17"/>
        <v>0</v>
      </c>
      <c r="AV72" s="96">
        <f t="shared" si="17"/>
        <v>0</v>
      </c>
      <c r="AW72" s="96">
        <f t="shared" si="17"/>
        <v>0</v>
      </c>
      <c r="AX72" s="96">
        <f t="shared" si="17"/>
        <v>0</v>
      </c>
    </row>
    <row r="73" spans="1:50" ht="10.199999999999999" x14ac:dyDescent="0.2">
      <c r="A73" s="44"/>
      <c r="B73" s="55"/>
      <c r="C73" s="55"/>
      <c r="D73" s="46"/>
      <c r="E73" s="46"/>
      <c r="F73" s="45"/>
      <c r="G73" s="45"/>
      <c r="H73" s="45"/>
      <c r="I73" s="45"/>
      <c r="J73" s="45"/>
      <c r="K73" s="45"/>
      <c r="L73" s="45"/>
      <c r="M73" s="46"/>
      <c r="N73" s="46"/>
      <c r="O73" s="46"/>
      <c r="P73" s="45"/>
      <c r="Q73" s="46"/>
      <c r="R73" s="45"/>
      <c r="S73" s="45"/>
      <c r="T73" s="45"/>
      <c r="U73" s="46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</row>
    <row r="74" spans="1:50" ht="10.199999999999999" x14ac:dyDescent="0.2">
      <c r="A74" s="99" t="s">
        <v>4</v>
      </c>
      <c r="B74" s="57"/>
      <c r="C74" s="57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</row>
    <row r="75" spans="1:50" ht="10.199999999999999" x14ac:dyDescent="0.2">
      <c r="A75" s="98" t="s">
        <v>3</v>
      </c>
      <c r="B75" s="85"/>
      <c r="C75" s="85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</row>
    <row r="76" spans="1:50" ht="10.199999999999999" x14ac:dyDescent="0.2">
      <c r="A76" s="95" t="s">
        <v>49</v>
      </c>
      <c r="B76" s="95">
        <v>20</v>
      </c>
      <c r="C76" s="96">
        <f>(C74+C75)*$B$76</f>
        <v>0</v>
      </c>
      <c r="D76" s="96">
        <f t="shared" ref="D76:W76" si="18">(D74+D75)*$B$76</f>
        <v>0</v>
      </c>
      <c r="E76" s="96">
        <f t="shared" si="18"/>
        <v>0</v>
      </c>
      <c r="F76" s="96">
        <f t="shared" si="18"/>
        <v>0</v>
      </c>
      <c r="G76" s="96">
        <f t="shared" si="18"/>
        <v>0</v>
      </c>
      <c r="H76" s="96">
        <f t="shared" si="18"/>
        <v>0</v>
      </c>
      <c r="I76" s="96">
        <f t="shared" si="18"/>
        <v>0</v>
      </c>
      <c r="J76" s="96">
        <f t="shared" si="18"/>
        <v>0</v>
      </c>
      <c r="K76" s="96">
        <f t="shared" si="18"/>
        <v>0</v>
      </c>
      <c r="L76" s="96">
        <f>(L74+L75)*$B$76</f>
        <v>0</v>
      </c>
      <c r="M76" s="96">
        <f t="shared" si="18"/>
        <v>0</v>
      </c>
      <c r="N76" s="96">
        <f t="shared" si="18"/>
        <v>0</v>
      </c>
      <c r="O76" s="96">
        <f t="shared" si="18"/>
        <v>0</v>
      </c>
      <c r="P76" s="96">
        <f t="shared" si="18"/>
        <v>0</v>
      </c>
      <c r="Q76" s="96">
        <f t="shared" si="18"/>
        <v>0</v>
      </c>
      <c r="R76" s="96">
        <f t="shared" si="18"/>
        <v>0</v>
      </c>
      <c r="S76" s="96">
        <f>(S74+S75)*$B$76</f>
        <v>0</v>
      </c>
      <c r="T76" s="96">
        <f>(T74+T75)*$B$76</f>
        <v>0</v>
      </c>
      <c r="U76" s="96">
        <f>(U74+U75)*$B$76</f>
        <v>0</v>
      </c>
      <c r="V76" s="96">
        <f t="shared" si="18"/>
        <v>0</v>
      </c>
      <c r="W76" s="96">
        <f t="shared" si="18"/>
        <v>0</v>
      </c>
      <c r="X76" s="96">
        <f>(X74+X75)*$B$76</f>
        <v>0</v>
      </c>
      <c r="Y76" s="96">
        <f t="shared" ref="Y76:AX76" si="19">(Y74+Y75)*$B$76</f>
        <v>0</v>
      </c>
      <c r="Z76" s="96">
        <f t="shared" si="19"/>
        <v>0</v>
      </c>
      <c r="AA76" s="96">
        <f t="shared" si="19"/>
        <v>0</v>
      </c>
      <c r="AB76" s="96">
        <f t="shared" si="19"/>
        <v>0</v>
      </c>
      <c r="AC76" s="96">
        <f t="shared" si="19"/>
        <v>0</v>
      </c>
      <c r="AD76" s="96">
        <f t="shared" si="19"/>
        <v>0</v>
      </c>
      <c r="AE76" s="96">
        <f t="shared" si="19"/>
        <v>0</v>
      </c>
      <c r="AF76" s="96">
        <f t="shared" si="19"/>
        <v>0</v>
      </c>
      <c r="AG76" s="96">
        <f t="shared" si="19"/>
        <v>0</v>
      </c>
      <c r="AH76" s="96">
        <f t="shared" si="19"/>
        <v>0</v>
      </c>
      <c r="AI76" s="96">
        <f t="shared" si="19"/>
        <v>0</v>
      </c>
      <c r="AJ76" s="96">
        <f t="shared" si="19"/>
        <v>0</v>
      </c>
      <c r="AK76" s="96">
        <f t="shared" si="19"/>
        <v>0</v>
      </c>
      <c r="AL76" s="96">
        <f t="shared" si="19"/>
        <v>0</v>
      </c>
      <c r="AM76" s="96">
        <f t="shared" si="19"/>
        <v>0</v>
      </c>
      <c r="AN76" s="96">
        <f t="shared" si="19"/>
        <v>0</v>
      </c>
      <c r="AO76" s="96">
        <f t="shared" si="19"/>
        <v>0</v>
      </c>
      <c r="AP76" s="96">
        <f t="shared" si="19"/>
        <v>0</v>
      </c>
      <c r="AQ76" s="96">
        <f t="shared" si="19"/>
        <v>0</v>
      </c>
      <c r="AR76" s="96">
        <f t="shared" si="19"/>
        <v>0</v>
      </c>
      <c r="AS76" s="96">
        <f t="shared" si="19"/>
        <v>0</v>
      </c>
      <c r="AT76" s="96">
        <f t="shared" si="19"/>
        <v>0</v>
      </c>
      <c r="AU76" s="96">
        <f t="shared" si="19"/>
        <v>0</v>
      </c>
      <c r="AV76" s="96">
        <f t="shared" si="19"/>
        <v>0</v>
      </c>
      <c r="AW76" s="96">
        <f t="shared" si="19"/>
        <v>0</v>
      </c>
      <c r="AX76" s="96">
        <f t="shared" si="19"/>
        <v>0</v>
      </c>
    </row>
    <row r="77" spans="1:50" ht="10.199999999999999" x14ac:dyDescent="0.2">
      <c r="A77" s="61"/>
      <c r="B77" s="109"/>
      <c r="C77" s="109"/>
      <c r="D77" s="63"/>
      <c r="E77" s="63"/>
      <c r="F77" s="62"/>
      <c r="G77" s="62"/>
      <c r="H77" s="62"/>
      <c r="I77" s="62"/>
      <c r="J77" s="62"/>
      <c r="K77" s="62"/>
      <c r="L77" s="62"/>
      <c r="M77" s="63"/>
      <c r="N77" s="63"/>
      <c r="O77" s="63"/>
      <c r="P77" s="62"/>
      <c r="Q77" s="63"/>
      <c r="R77" s="62"/>
      <c r="S77" s="62"/>
      <c r="T77" s="62"/>
      <c r="U77" s="63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</row>
    <row r="78" spans="1:50" ht="10.199999999999999" x14ac:dyDescent="0.2">
      <c r="A78" s="126" t="s">
        <v>1</v>
      </c>
      <c r="B78" s="87"/>
      <c r="C78" s="87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</row>
    <row r="79" spans="1:50" ht="10.199999999999999" x14ac:dyDescent="0.2">
      <c r="A79" s="110" t="s">
        <v>2</v>
      </c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</row>
    <row r="80" spans="1:50" ht="10.199999999999999" x14ac:dyDescent="0.2">
      <c r="A80" s="95" t="s">
        <v>49</v>
      </c>
      <c r="B80" s="95">
        <v>3.5</v>
      </c>
      <c r="C80" s="96">
        <f>(C78+C79)*$B$80</f>
        <v>0</v>
      </c>
      <c r="D80" s="96">
        <f t="shared" ref="D80:W80" si="20">(D78+D79)*$B$80</f>
        <v>0</v>
      </c>
      <c r="E80" s="96">
        <f t="shared" si="20"/>
        <v>0</v>
      </c>
      <c r="F80" s="96">
        <f t="shared" si="20"/>
        <v>0</v>
      </c>
      <c r="G80" s="96">
        <f t="shared" si="20"/>
        <v>0</v>
      </c>
      <c r="H80" s="96">
        <f t="shared" si="20"/>
        <v>0</v>
      </c>
      <c r="I80" s="96">
        <f t="shared" si="20"/>
        <v>0</v>
      </c>
      <c r="J80" s="96">
        <f t="shared" si="20"/>
        <v>0</v>
      </c>
      <c r="K80" s="96">
        <f t="shared" si="20"/>
        <v>0</v>
      </c>
      <c r="L80" s="96">
        <f>(L78+L79)*$B$80</f>
        <v>0</v>
      </c>
      <c r="M80" s="96">
        <f t="shared" si="20"/>
        <v>0</v>
      </c>
      <c r="N80" s="96">
        <f t="shared" si="20"/>
        <v>0</v>
      </c>
      <c r="O80" s="96">
        <f t="shared" si="20"/>
        <v>0</v>
      </c>
      <c r="P80" s="96">
        <f t="shared" si="20"/>
        <v>0</v>
      </c>
      <c r="Q80" s="96">
        <f t="shared" si="20"/>
        <v>0</v>
      </c>
      <c r="R80" s="96">
        <f t="shared" si="20"/>
        <v>0</v>
      </c>
      <c r="S80" s="96">
        <f>(S78+S79)*$B$80</f>
        <v>0</v>
      </c>
      <c r="T80" s="96">
        <f>(T78+T79)*$B$80</f>
        <v>0</v>
      </c>
      <c r="U80" s="96">
        <f>(U78+U79)*$B$80</f>
        <v>0</v>
      </c>
      <c r="V80" s="96">
        <f t="shared" si="20"/>
        <v>0</v>
      </c>
      <c r="W80" s="96">
        <f t="shared" si="20"/>
        <v>0</v>
      </c>
      <c r="X80" s="96">
        <f>(X78+X79)*$B$80</f>
        <v>0</v>
      </c>
      <c r="Y80" s="96">
        <f t="shared" ref="Y80:AX80" si="21">(Y78+Y79)*$B$80</f>
        <v>0</v>
      </c>
      <c r="Z80" s="96">
        <f t="shared" si="21"/>
        <v>0</v>
      </c>
      <c r="AA80" s="96">
        <f t="shared" si="21"/>
        <v>0</v>
      </c>
      <c r="AB80" s="96">
        <f t="shared" si="21"/>
        <v>0</v>
      </c>
      <c r="AC80" s="96">
        <f t="shared" si="21"/>
        <v>0</v>
      </c>
      <c r="AD80" s="96">
        <f t="shared" si="21"/>
        <v>0</v>
      </c>
      <c r="AE80" s="96">
        <f t="shared" si="21"/>
        <v>0</v>
      </c>
      <c r="AF80" s="96">
        <f t="shared" si="21"/>
        <v>0</v>
      </c>
      <c r="AG80" s="96">
        <f t="shared" si="21"/>
        <v>0</v>
      </c>
      <c r="AH80" s="96">
        <f t="shared" si="21"/>
        <v>0</v>
      </c>
      <c r="AI80" s="96">
        <f t="shared" si="21"/>
        <v>0</v>
      </c>
      <c r="AJ80" s="96">
        <f t="shared" si="21"/>
        <v>0</v>
      </c>
      <c r="AK80" s="96">
        <f t="shared" si="21"/>
        <v>0</v>
      </c>
      <c r="AL80" s="96">
        <f t="shared" si="21"/>
        <v>0</v>
      </c>
      <c r="AM80" s="96">
        <f t="shared" si="21"/>
        <v>0</v>
      </c>
      <c r="AN80" s="96">
        <f t="shared" si="21"/>
        <v>0</v>
      </c>
      <c r="AO80" s="96">
        <f t="shared" si="21"/>
        <v>0</v>
      </c>
      <c r="AP80" s="96">
        <f t="shared" si="21"/>
        <v>0</v>
      </c>
      <c r="AQ80" s="96">
        <f t="shared" si="21"/>
        <v>0</v>
      </c>
      <c r="AR80" s="96">
        <f t="shared" si="21"/>
        <v>0</v>
      </c>
      <c r="AS80" s="96">
        <f t="shared" si="21"/>
        <v>0</v>
      </c>
      <c r="AT80" s="96">
        <f t="shared" si="21"/>
        <v>0</v>
      </c>
      <c r="AU80" s="96">
        <f t="shared" si="21"/>
        <v>0</v>
      </c>
      <c r="AV80" s="96">
        <f t="shared" si="21"/>
        <v>0</v>
      </c>
      <c r="AW80" s="96">
        <f t="shared" si="21"/>
        <v>0</v>
      </c>
      <c r="AX80" s="96">
        <f t="shared" si="21"/>
        <v>0</v>
      </c>
    </row>
    <row r="81" spans="1:50" ht="10.199999999999999" x14ac:dyDescent="0.2">
      <c r="A81" s="44"/>
      <c r="B81" s="55"/>
      <c r="C81" s="55"/>
      <c r="D81" s="46"/>
      <c r="E81" s="46"/>
      <c r="F81" s="45"/>
      <c r="G81" s="45"/>
      <c r="H81" s="45"/>
      <c r="I81" s="45"/>
      <c r="J81" s="45"/>
      <c r="K81" s="45"/>
      <c r="L81" s="45"/>
      <c r="M81" s="46"/>
      <c r="N81" s="46"/>
      <c r="O81" s="46"/>
      <c r="P81" s="45"/>
      <c r="Q81" s="46"/>
      <c r="R81" s="45"/>
      <c r="S81" s="45"/>
      <c r="T81" s="45"/>
      <c r="U81" s="46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</row>
    <row r="82" spans="1:50" ht="10.199999999999999" x14ac:dyDescent="0.2">
      <c r="A82" s="58" t="s">
        <v>48</v>
      </c>
      <c r="B82" s="100"/>
      <c r="C82" s="100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</row>
    <row r="83" spans="1:50" ht="10.199999999999999" x14ac:dyDescent="0.2">
      <c r="A83" s="60" t="s">
        <v>106</v>
      </c>
      <c r="B83" s="59"/>
      <c r="C83" s="59">
        <v>0</v>
      </c>
      <c r="D83" s="59">
        <v>0</v>
      </c>
      <c r="E83" s="59">
        <v>2</v>
      </c>
      <c r="F83" s="59">
        <v>4</v>
      </c>
      <c r="G83" s="59">
        <v>0</v>
      </c>
      <c r="H83" s="59">
        <v>1</v>
      </c>
      <c r="I83" s="59">
        <v>3</v>
      </c>
      <c r="J83" s="59">
        <v>2</v>
      </c>
      <c r="K83" s="59">
        <v>0</v>
      </c>
      <c r="L83" s="59">
        <v>3</v>
      </c>
      <c r="M83" s="59">
        <v>2</v>
      </c>
      <c r="N83" s="59">
        <v>0</v>
      </c>
      <c r="O83" s="59">
        <v>3</v>
      </c>
      <c r="P83" s="59">
        <v>2</v>
      </c>
      <c r="Q83" s="59">
        <v>0</v>
      </c>
      <c r="R83" s="59">
        <v>2</v>
      </c>
      <c r="S83" s="59">
        <v>2</v>
      </c>
      <c r="T83" s="59">
        <v>0</v>
      </c>
      <c r="U83" s="59">
        <v>0</v>
      </c>
      <c r="V83" s="59"/>
      <c r="W83" s="59">
        <v>3</v>
      </c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</row>
    <row r="84" spans="1:50" ht="10.199999999999999" x14ac:dyDescent="0.2">
      <c r="A84" s="89" t="s">
        <v>107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</row>
    <row r="85" spans="1:50" ht="10.199999999999999" x14ac:dyDescent="0.2">
      <c r="A85" s="95" t="s">
        <v>49</v>
      </c>
      <c r="B85" s="95">
        <v>1</v>
      </c>
      <c r="C85" s="96">
        <f t="shared" ref="C85:W85" si="22">C83+C84*$B$85</f>
        <v>0</v>
      </c>
      <c r="D85" s="96">
        <f t="shared" si="22"/>
        <v>0</v>
      </c>
      <c r="E85" s="96">
        <f t="shared" si="22"/>
        <v>2</v>
      </c>
      <c r="F85" s="96">
        <f t="shared" si="22"/>
        <v>4</v>
      </c>
      <c r="G85" s="96">
        <f t="shared" si="22"/>
        <v>0</v>
      </c>
      <c r="H85" s="96">
        <f t="shared" si="22"/>
        <v>1</v>
      </c>
      <c r="I85" s="96">
        <f t="shared" si="22"/>
        <v>3</v>
      </c>
      <c r="J85" s="96">
        <f t="shared" si="22"/>
        <v>2</v>
      </c>
      <c r="K85" s="96">
        <f t="shared" si="22"/>
        <v>0</v>
      </c>
      <c r="L85" s="96">
        <f>L83+L84*$B$85</f>
        <v>3</v>
      </c>
      <c r="M85" s="96">
        <f t="shared" si="22"/>
        <v>2</v>
      </c>
      <c r="N85" s="96">
        <f t="shared" si="22"/>
        <v>0</v>
      </c>
      <c r="O85" s="96">
        <f t="shared" si="22"/>
        <v>3</v>
      </c>
      <c r="P85" s="96">
        <f t="shared" si="22"/>
        <v>2</v>
      </c>
      <c r="Q85" s="96">
        <f t="shared" si="22"/>
        <v>0</v>
      </c>
      <c r="R85" s="96">
        <f t="shared" si="22"/>
        <v>2</v>
      </c>
      <c r="S85" s="96">
        <f>S83+S84*$B$85</f>
        <v>2</v>
      </c>
      <c r="T85" s="96">
        <f>T83+T84*$B$85</f>
        <v>0</v>
      </c>
      <c r="U85" s="96">
        <f>U83+U84*$B$85</f>
        <v>0</v>
      </c>
      <c r="V85" s="96">
        <f t="shared" si="22"/>
        <v>0</v>
      </c>
      <c r="W85" s="96">
        <f t="shared" si="22"/>
        <v>3</v>
      </c>
      <c r="X85" s="96">
        <f>X83+X84*$B$85</f>
        <v>0</v>
      </c>
      <c r="Y85" s="96">
        <f t="shared" ref="Y85:AX85" si="23">Y83+Y84*$B$85</f>
        <v>0</v>
      </c>
      <c r="Z85" s="96">
        <f t="shared" si="23"/>
        <v>0</v>
      </c>
      <c r="AA85" s="96">
        <f t="shared" si="23"/>
        <v>0</v>
      </c>
      <c r="AB85" s="96">
        <f t="shared" si="23"/>
        <v>0</v>
      </c>
      <c r="AC85" s="96">
        <f t="shared" si="23"/>
        <v>0</v>
      </c>
      <c r="AD85" s="96">
        <f t="shared" si="23"/>
        <v>0</v>
      </c>
      <c r="AE85" s="96">
        <f t="shared" si="23"/>
        <v>0</v>
      </c>
      <c r="AF85" s="96">
        <f t="shared" si="23"/>
        <v>0</v>
      </c>
      <c r="AG85" s="96">
        <f t="shared" si="23"/>
        <v>0</v>
      </c>
      <c r="AH85" s="96">
        <f t="shared" si="23"/>
        <v>0</v>
      </c>
      <c r="AI85" s="96">
        <f t="shared" si="23"/>
        <v>0</v>
      </c>
      <c r="AJ85" s="96">
        <f t="shared" si="23"/>
        <v>0</v>
      </c>
      <c r="AK85" s="96">
        <f t="shared" si="23"/>
        <v>0</v>
      </c>
      <c r="AL85" s="96">
        <f t="shared" si="23"/>
        <v>0</v>
      </c>
      <c r="AM85" s="96">
        <f t="shared" si="23"/>
        <v>0</v>
      </c>
      <c r="AN85" s="96">
        <f t="shared" si="23"/>
        <v>0</v>
      </c>
      <c r="AO85" s="96">
        <f t="shared" si="23"/>
        <v>0</v>
      </c>
      <c r="AP85" s="96">
        <f t="shared" si="23"/>
        <v>0</v>
      </c>
      <c r="AQ85" s="96">
        <f t="shared" si="23"/>
        <v>0</v>
      </c>
      <c r="AR85" s="96">
        <f t="shared" si="23"/>
        <v>0</v>
      </c>
      <c r="AS85" s="96">
        <f t="shared" si="23"/>
        <v>0</v>
      </c>
      <c r="AT85" s="96">
        <f t="shared" si="23"/>
        <v>0</v>
      </c>
      <c r="AU85" s="96">
        <f t="shared" si="23"/>
        <v>0</v>
      </c>
      <c r="AV85" s="96">
        <f t="shared" si="23"/>
        <v>0</v>
      </c>
      <c r="AW85" s="96">
        <f t="shared" si="23"/>
        <v>0</v>
      </c>
      <c r="AX85" s="96">
        <f t="shared" si="23"/>
        <v>0</v>
      </c>
    </row>
    <row r="86" spans="1:50" ht="10.8" thickBot="1" x14ac:dyDescent="0.25">
      <c r="A86" s="61"/>
      <c r="B86" s="61"/>
      <c r="C86" s="61"/>
      <c r="D86" s="63"/>
      <c r="E86" s="63"/>
      <c r="F86" s="62"/>
      <c r="G86" s="62"/>
      <c r="H86" s="62"/>
      <c r="I86" s="62"/>
      <c r="J86" s="62"/>
      <c r="K86" s="62"/>
      <c r="L86" s="62"/>
      <c r="M86" s="63"/>
      <c r="N86" s="63"/>
      <c r="O86" s="63"/>
      <c r="P86" s="62"/>
      <c r="Q86" s="63"/>
      <c r="R86" s="62"/>
      <c r="S86" s="62"/>
      <c r="T86" s="62"/>
      <c r="U86" s="63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</row>
    <row r="87" spans="1:50" s="33" customFormat="1" ht="10.199999999999999" x14ac:dyDescent="0.2">
      <c r="A87" s="64" t="s">
        <v>50</v>
      </c>
      <c r="B87" s="65"/>
      <c r="C87" s="66" t="e">
        <f t="shared" ref="C87:W87" ca="1" si="24">C85+C80+C72+C45+C68+C76</f>
        <v>#REF!</v>
      </c>
      <c r="D87" s="66" t="e">
        <f t="shared" ca="1" si="24"/>
        <v>#REF!</v>
      </c>
      <c r="E87" s="66" t="e">
        <f ca="1">E85+E80+E72+E45+E68+E76</f>
        <v>#REF!</v>
      </c>
      <c r="F87" s="66" t="e">
        <f t="shared" ca="1" si="24"/>
        <v>#REF!</v>
      </c>
      <c r="G87" s="66" t="e">
        <f t="shared" ca="1" si="24"/>
        <v>#REF!</v>
      </c>
      <c r="H87" s="66" t="e">
        <f t="shared" ca="1" si="24"/>
        <v>#REF!</v>
      </c>
      <c r="I87" s="66" t="e">
        <f t="shared" ca="1" si="24"/>
        <v>#REF!</v>
      </c>
      <c r="J87" s="66" t="e">
        <f t="shared" ca="1" si="24"/>
        <v>#REF!</v>
      </c>
      <c r="K87" s="66" t="e">
        <f t="shared" ca="1" si="24"/>
        <v>#REF!</v>
      </c>
      <c r="L87" s="66" t="e">
        <f t="shared" ca="1" si="24"/>
        <v>#REF!</v>
      </c>
      <c r="M87" s="66" t="e">
        <f t="shared" ca="1" si="24"/>
        <v>#REF!</v>
      </c>
      <c r="N87" s="66" t="e">
        <f t="shared" ca="1" si="24"/>
        <v>#REF!</v>
      </c>
      <c r="O87" s="66" t="e">
        <f t="shared" ca="1" si="24"/>
        <v>#REF!</v>
      </c>
      <c r="P87" s="66" t="e">
        <f t="shared" ca="1" si="24"/>
        <v>#REF!</v>
      </c>
      <c r="Q87" s="66" t="e">
        <f t="shared" ca="1" si="24"/>
        <v>#REF!</v>
      </c>
      <c r="R87" s="66" t="e">
        <f t="shared" ca="1" si="24"/>
        <v>#REF!</v>
      </c>
      <c r="S87" s="66" t="e">
        <f ca="1">S85+S80+S72+S45+S68+S76</f>
        <v>#REF!</v>
      </c>
      <c r="T87" s="66" t="e">
        <f ca="1">T85+T80+T72+T45+T68+T76</f>
        <v>#REF!</v>
      </c>
      <c r="U87" s="66" t="e">
        <f ca="1">U85+U80+U72+U45+U68+U76</f>
        <v>#REF!</v>
      </c>
      <c r="V87" s="66" t="e">
        <f t="shared" ca="1" si="24"/>
        <v>#REF!</v>
      </c>
      <c r="W87" s="66" t="e">
        <f t="shared" ca="1" si="24"/>
        <v>#REF!</v>
      </c>
      <c r="X87" s="66" t="e">
        <f ca="1">X85+X80+X72+X45+X68+X76</f>
        <v>#REF!</v>
      </c>
      <c r="Y87" s="66" t="e">
        <f t="shared" ref="Y87:AX87" ca="1" si="25">Y85+Y80+Y72+Y45+Y68+Y76</f>
        <v>#REF!</v>
      </c>
      <c r="Z87" s="66" t="e">
        <f t="shared" ca="1" si="25"/>
        <v>#REF!</v>
      </c>
      <c r="AA87" s="66" t="e">
        <f t="shared" ca="1" si="25"/>
        <v>#REF!</v>
      </c>
      <c r="AB87" s="66" t="e">
        <f t="shared" ca="1" si="25"/>
        <v>#REF!</v>
      </c>
      <c r="AC87" s="66" t="e">
        <f t="shared" ca="1" si="25"/>
        <v>#REF!</v>
      </c>
      <c r="AD87" s="66" t="e">
        <f t="shared" ca="1" si="25"/>
        <v>#REF!</v>
      </c>
      <c r="AE87" s="66" t="e">
        <f t="shared" ca="1" si="25"/>
        <v>#REF!</v>
      </c>
      <c r="AF87" s="66" t="e">
        <f t="shared" ca="1" si="25"/>
        <v>#REF!</v>
      </c>
      <c r="AG87" s="66" t="e">
        <f t="shared" ca="1" si="25"/>
        <v>#REF!</v>
      </c>
      <c r="AH87" s="66" t="e">
        <f t="shared" ca="1" si="25"/>
        <v>#REF!</v>
      </c>
      <c r="AI87" s="66" t="e">
        <f t="shared" ca="1" si="25"/>
        <v>#REF!</v>
      </c>
      <c r="AJ87" s="66" t="e">
        <f t="shared" ca="1" si="25"/>
        <v>#REF!</v>
      </c>
      <c r="AK87" s="66" t="e">
        <f t="shared" ca="1" si="25"/>
        <v>#REF!</v>
      </c>
      <c r="AL87" s="66" t="e">
        <f t="shared" ca="1" si="25"/>
        <v>#REF!</v>
      </c>
      <c r="AM87" s="66" t="e">
        <f t="shared" ca="1" si="25"/>
        <v>#REF!</v>
      </c>
      <c r="AN87" s="66" t="e">
        <f t="shared" ca="1" si="25"/>
        <v>#REF!</v>
      </c>
      <c r="AO87" s="66" t="e">
        <f t="shared" ca="1" si="25"/>
        <v>#REF!</v>
      </c>
      <c r="AP87" s="66" t="e">
        <f t="shared" ca="1" si="25"/>
        <v>#REF!</v>
      </c>
      <c r="AQ87" s="66" t="e">
        <f t="shared" ca="1" si="25"/>
        <v>#REF!</v>
      </c>
      <c r="AR87" s="66" t="e">
        <f t="shared" ca="1" si="25"/>
        <v>#REF!</v>
      </c>
      <c r="AS87" s="66" t="e">
        <f t="shared" ca="1" si="25"/>
        <v>#REF!</v>
      </c>
      <c r="AT87" s="66" t="e">
        <f t="shared" ca="1" si="25"/>
        <v>#REF!</v>
      </c>
      <c r="AU87" s="66" t="e">
        <f t="shared" ca="1" si="25"/>
        <v>#REF!</v>
      </c>
      <c r="AV87" s="66" t="e">
        <f t="shared" ca="1" si="25"/>
        <v>#REF!</v>
      </c>
      <c r="AW87" s="66" t="e">
        <f t="shared" ca="1" si="25"/>
        <v>#REF!</v>
      </c>
      <c r="AX87" s="66" t="e">
        <f t="shared" ca="1" si="25"/>
        <v>#REF!</v>
      </c>
    </row>
    <row r="88" spans="1:50" ht="10.199999999999999" x14ac:dyDescent="0.2">
      <c r="A88" s="97" t="s">
        <v>52</v>
      </c>
      <c r="B88" s="93"/>
      <c r="C88" s="93"/>
      <c r="D88" s="116">
        <v>1150</v>
      </c>
      <c r="E88" s="116">
        <v>1150</v>
      </c>
      <c r="F88" s="116">
        <v>1150</v>
      </c>
      <c r="G88" s="116">
        <v>1150</v>
      </c>
      <c r="H88" s="116">
        <v>1150</v>
      </c>
      <c r="I88" s="116">
        <v>1150</v>
      </c>
      <c r="J88" s="116">
        <v>1150</v>
      </c>
      <c r="K88" s="116">
        <v>1150</v>
      </c>
      <c r="L88" s="116">
        <v>1150</v>
      </c>
      <c r="M88" s="116">
        <v>1150</v>
      </c>
      <c r="N88" s="116">
        <v>1150</v>
      </c>
      <c r="O88" s="116">
        <v>1150</v>
      </c>
      <c r="P88" s="116">
        <v>1150</v>
      </c>
      <c r="Q88" s="116">
        <v>1150</v>
      </c>
      <c r="R88" s="116">
        <v>1150</v>
      </c>
      <c r="S88" s="116">
        <v>1150</v>
      </c>
      <c r="T88" s="116">
        <v>1150</v>
      </c>
      <c r="U88" s="116">
        <v>1150</v>
      </c>
      <c r="V88" s="116">
        <v>1150</v>
      </c>
      <c r="W88" s="116">
        <v>1150</v>
      </c>
      <c r="X88" s="116">
        <v>1150</v>
      </c>
      <c r="Y88" s="116">
        <v>1150</v>
      </c>
      <c r="Z88" s="116">
        <v>1150</v>
      </c>
      <c r="AA88" s="116">
        <v>1150</v>
      </c>
      <c r="AB88" s="116">
        <v>1150</v>
      </c>
      <c r="AC88" s="116">
        <v>1150</v>
      </c>
      <c r="AD88" s="116">
        <v>1150</v>
      </c>
      <c r="AE88" s="116">
        <v>1150</v>
      </c>
      <c r="AF88" s="116">
        <v>1150</v>
      </c>
      <c r="AG88" s="116">
        <v>1150</v>
      </c>
      <c r="AH88" s="116">
        <v>1150</v>
      </c>
      <c r="AI88" s="116">
        <v>1150</v>
      </c>
      <c r="AJ88" s="116">
        <v>1150</v>
      </c>
      <c r="AK88" s="116">
        <v>1150</v>
      </c>
      <c r="AL88" s="116">
        <v>1150</v>
      </c>
      <c r="AM88" s="116">
        <v>1150</v>
      </c>
      <c r="AN88" s="116">
        <v>1150</v>
      </c>
      <c r="AO88" s="116">
        <v>1150</v>
      </c>
      <c r="AP88" s="116">
        <v>1150</v>
      </c>
      <c r="AQ88" s="116">
        <v>1150</v>
      </c>
      <c r="AR88" s="116">
        <v>1150</v>
      </c>
      <c r="AS88" s="116">
        <v>1150</v>
      </c>
      <c r="AT88" s="116">
        <v>1150</v>
      </c>
      <c r="AU88" s="116">
        <v>1150</v>
      </c>
      <c r="AV88" s="116">
        <v>1150</v>
      </c>
      <c r="AW88" s="116">
        <v>1150</v>
      </c>
      <c r="AX88" s="116">
        <v>1150</v>
      </c>
    </row>
    <row r="89" spans="1:50" ht="10.8" thickBot="1" x14ac:dyDescent="0.25">
      <c r="A89" s="67" t="s">
        <v>53</v>
      </c>
      <c r="B89" s="91"/>
      <c r="C89" s="91" t="e">
        <f t="shared" ref="C89:V89" ca="1" si="26">C88-C87</f>
        <v>#REF!</v>
      </c>
      <c r="D89" s="91" t="e">
        <f t="shared" ca="1" si="26"/>
        <v>#REF!</v>
      </c>
      <c r="E89" s="91" t="e">
        <f t="shared" ca="1" si="26"/>
        <v>#REF!</v>
      </c>
      <c r="F89" s="91" t="e">
        <f t="shared" ca="1" si="26"/>
        <v>#REF!</v>
      </c>
      <c r="G89" s="91" t="e">
        <f t="shared" ca="1" si="26"/>
        <v>#REF!</v>
      </c>
      <c r="H89" s="91" t="e">
        <f t="shared" ca="1" si="26"/>
        <v>#REF!</v>
      </c>
      <c r="I89" s="91" t="e">
        <f t="shared" ca="1" si="26"/>
        <v>#REF!</v>
      </c>
      <c r="J89" s="91" t="e">
        <f t="shared" ca="1" si="26"/>
        <v>#REF!</v>
      </c>
      <c r="K89" s="91" t="e">
        <f t="shared" ca="1" si="26"/>
        <v>#REF!</v>
      </c>
      <c r="L89" s="91" t="e">
        <f ca="1">L88-L87</f>
        <v>#REF!</v>
      </c>
      <c r="M89" s="91" t="e">
        <f t="shared" ca="1" si="26"/>
        <v>#REF!</v>
      </c>
      <c r="N89" s="91" t="e">
        <f t="shared" ca="1" si="26"/>
        <v>#REF!</v>
      </c>
      <c r="O89" s="91" t="e">
        <f t="shared" ca="1" si="26"/>
        <v>#REF!</v>
      </c>
      <c r="P89" s="91" t="e">
        <f t="shared" ca="1" si="26"/>
        <v>#REF!</v>
      </c>
      <c r="Q89" s="91" t="e">
        <f t="shared" ca="1" si="26"/>
        <v>#REF!</v>
      </c>
      <c r="R89" s="91" t="e">
        <f t="shared" ca="1" si="26"/>
        <v>#REF!</v>
      </c>
      <c r="S89" s="91" t="e">
        <f ca="1">S88-S87</f>
        <v>#REF!</v>
      </c>
      <c r="T89" s="91" t="e">
        <f ca="1">T88-T87</f>
        <v>#REF!</v>
      </c>
      <c r="U89" s="91" t="e">
        <f ca="1">U88-U87</f>
        <v>#REF!</v>
      </c>
      <c r="V89" s="91" t="e">
        <f t="shared" ca="1" si="26"/>
        <v>#REF!</v>
      </c>
      <c r="W89" s="91" t="e">
        <f ca="1">W88-W87</f>
        <v>#REF!</v>
      </c>
      <c r="X89" s="91" t="e">
        <f ca="1">X88-X87</f>
        <v>#REF!</v>
      </c>
      <c r="Y89" s="91" t="e">
        <f t="shared" ref="Y89:AX89" ca="1" si="27">Y88-Y87</f>
        <v>#REF!</v>
      </c>
      <c r="Z89" s="91" t="e">
        <f t="shared" ca="1" si="27"/>
        <v>#REF!</v>
      </c>
      <c r="AA89" s="91" t="e">
        <f t="shared" ca="1" si="27"/>
        <v>#REF!</v>
      </c>
      <c r="AB89" s="91" t="e">
        <f t="shared" ca="1" si="27"/>
        <v>#REF!</v>
      </c>
      <c r="AC89" s="91" t="e">
        <f t="shared" ca="1" si="27"/>
        <v>#REF!</v>
      </c>
      <c r="AD89" s="91" t="e">
        <f t="shared" ca="1" si="27"/>
        <v>#REF!</v>
      </c>
      <c r="AE89" s="91" t="e">
        <f t="shared" ca="1" si="27"/>
        <v>#REF!</v>
      </c>
      <c r="AF89" s="91" t="e">
        <f t="shared" ca="1" si="27"/>
        <v>#REF!</v>
      </c>
      <c r="AG89" s="91" t="e">
        <f t="shared" ca="1" si="27"/>
        <v>#REF!</v>
      </c>
      <c r="AH89" s="91" t="e">
        <f t="shared" ca="1" si="27"/>
        <v>#REF!</v>
      </c>
      <c r="AI89" s="91" t="e">
        <f t="shared" ca="1" si="27"/>
        <v>#REF!</v>
      </c>
      <c r="AJ89" s="91" t="e">
        <f t="shared" ca="1" si="27"/>
        <v>#REF!</v>
      </c>
      <c r="AK89" s="91" t="e">
        <f t="shared" ca="1" si="27"/>
        <v>#REF!</v>
      </c>
      <c r="AL89" s="91" t="e">
        <f t="shared" ca="1" si="27"/>
        <v>#REF!</v>
      </c>
      <c r="AM89" s="91" t="e">
        <f t="shared" ca="1" si="27"/>
        <v>#REF!</v>
      </c>
      <c r="AN89" s="91" t="e">
        <f t="shared" ca="1" si="27"/>
        <v>#REF!</v>
      </c>
      <c r="AO89" s="91" t="e">
        <f t="shared" ca="1" si="27"/>
        <v>#REF!</v>
      </c>
      <c r="AP89" s="91" t="e">
        <f t="shared" ca="1" si="27"/>
        <v>#REF!</v>
      </c>
      <c r="AQ89" s="91" t="e">
        <f t="shared" ca="1" si="27"/>
        <v>#REF!</v>
      </c>
      <c r="AR89" s="91" t="e">
        <f t="shared" ca="1" si="27"/>
        <v>#REF!</v>
      </c>
      <c r="AS89" s="91" t="e">
        <f t="shared" ca="1" si="27"/>
        <v>#REF!</v>
      </c>
      <c r="AT89" s="91" t="e">
        <f t="shared" ca="1" si="27"/>
        <v>#REF!</v>
      </c>
      <c r="AU89" s="91" t="e">
        <f t="shared" ca="1" si="27"/>
        <v>#REF!</v>
      </c>
      <c r="AV89" s="91" t="e">
        <f t="shared" ca="1" si="27"/>
        <v>#REF!</v>
      </c>
      <c r="AW89" s="91" t="e">
        <f t="shared" ca="1" si="27"/>
        <v>#REF!</v>
      </c>
      <c r="AX89" s="91" t="e">
        <f t="shared" ca="1" si="27"/>
        <v>#REF!</v>
      </c>
    </row>
    <row r="90" spans="1:50" x14ac:dyDescent="0.25">
      <c r="A90" s="68"/>
      <c r="M90" s="6"/>
      <c r="P90" s="114"/>
      <c r="W90" s="6"/>
    </row>
    <row r="92" spans="1:50" x14ac:dyDescent="0.25">
      <c r="B92" s="6"/>
      <c r="C92" s="6"/>
      <c r="E92" s="6"/>
      <c r="M92" s="6"/>
      <c r="N92" s="6"/>
      <c r="O92" s="6"/>
      <c r="Q92" s="6"/>
      <c r="T92" s="6"/>
      <c r="U92" s="6"/>
      <c r="W92" s="6"/>
      <c r="X92" s="6"/>
    </row>
    <row r="93" spans="1:50" x14ac:dyDescent="0.25">
      <c r="B93" s="6"/>
      <c r="C93" s="6"/>
      <c r="E93" s="6"/>
      <c r="M93" s="6"/>
      <c r="N93" s="6"/>
      <c r="O93" s="6"/>
      <c r="Q93" s="6"/>
      <c r="T93" s="6"/>
      <c r="U93" s="6"/>
      <c r="W93" s="6"/>
      <c r="X93" s="6"/>
    </row>
    <row r="94" spans="1:50" x14ac:dyDescent="0.25">
      <c r="B94" s="6"/>
      <c r="C94" s="6"/>
      <c r="E94" s="6"/>
      <c r="M94" s="6"/>
      <c r="N94" s="6"/>
      <c r="O94" s="6"/>
      <c r="Q94" s="6"/>
      <c r="T94" s="6"/>
      <c r="U94" s="6"/>
      <c r="W94" s="6"/>
      <c r="X94" s="6"/>
    </row>
    <row r="95" spans="1:50" x14ac:dyDescent="0.25">
      <c r="B95" s="6"/>
      <c r="C95" s="6"/>
      <c r="E95" s="6"/>
      <c r="M95" s="6"/>
      <c r="N95" s="6"/>
      <c r="O95" s="6"/>
      <c r="Q95" s="6"/>
      <c r="T95" s="6"/>
      <c r="U95" s="6"/>
      <c r="W95" s="6"/>
      <c r="X95" s="6"/>
    </row>
    <row r="96" spans="1:50" x14ac:dyDescent="0.25">
      <c r="B96" s="6"/>
      <c r="C96" s="6"/>
      <c r="E96" s="6"/>
      <c r="M96" s="6"/>
      <c r="N96" s="6"/>
      <c r="O96" s="6"/>
      <c r="Q96" s="6"/>
      <c r="T96" s="6"/>
      <c r="U96" s="6"/>
      <c r="W96" s="6"/>
      <c r="X96" s="6"/>
    </row>
    <row r="97" spans="2:24" x14ac:dyDescent="0.25">
      <c r="B97" s="6"/>
      <c r="C97" s="6"/>
      <c r="E97" s="6"/>
      <c r="M97" s="6"/>
      <c r="N97" s="6"/>
      <c r="O97" s="6"/>
      <c r="Q97" s="6"/>
      <c r="T97" s="6"/>
      <c r="U97" s="6"/>
      <c r="W97" s="6"/>
      <c r="X97" s="6"/>
    </row>
  </sheetData>
  <phoneticPr fontId="4" type="noConversion"/>
  <pageMargins left="0.25" right="0.25" top="0.75" bottom="0.75" header="0.3" footer="0.3"/>
  <pageSetup paperSize="9" scale="69" fitToHeight="2" orientation="landscape" r:id="rId1"/>
  <headerFooter alignWithMargins="0">
    <oddFooter>&amp;L&amp;Z&amp;F&amp;D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normuren</vt:lpstr>
      <vt:lpstr>PERIOD 1</vt:lpstr>
      <vt:lpstr>PERIOD 2</vt:lpstr>
      <vt:lpstr>PERIOD 3</vt:lpstr>
      <vt:lpstr>PERIOD 4</vt:lpstr>
      <vt:lpstr>PERIOD 5</vt:lpstr>
      <vt:lpstr>PERIOD 6</vt:lpstr>
      <vt:lpstr>Totaal</vt:lpstr>
      <vt:lpstr>'PERIOD 5'!Print_Area</vt:lpstr>
    </vt:vector>
  </TitlesOfParts>
  <Company>Universiteit Maastricht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Pascal.deRoos</dc:creator>
  <cp:lastModifiedBy>Dufour, Severine (MSP)</cp:lastModifiedBy>
  <cp:lastPrinted>2021-11-02T11:56:08Z</cp:lastPrinted>
  <dcterms:created xsi:type="dcterms:W3CDTF">2005-12-14T08:44:37Z</dcterms:created>
  <dcterms:modified xsi:type="dcterms:W3CDTF">2022-10-07T11:57:14Z</dcterms:modified>
</cp:coreProperties>
</file>